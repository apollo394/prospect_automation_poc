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oping Summary" sheetId="2" state="visible" r:id="rId2"/>
    <sheet xmlns:r="http://schemas.openxmlformats.org/officeDocument/2006/relationships" name="Strategic Foundation" sheetId="3" state="visible" r:id="rId3"/>
    <sheet xmlns:r="http://schemas.openxmlformats.org/officeDocument/2006/relationships" name="Implementation Scope" sheetId="4" state="visible" r:id="rId4"/>
    <sheet xmlns:r="http://schemas.openxmlformats.org/officeDocument/2006/relationships" name="Responsibility Map" sheetId="5" state="visible" r:id="rId5"/>
    <sheet xmlns:r="http://schemas.openxmlformats.org/officeDocument/2006/relationships" name="Dependencies &amp; Risks" sheetId="6" state="visible" r:id="rId6"/>
    <sheet xmlns:r="http://schemas.openxmlformats.org/officeDocument/2006/relationships" name="Complexity Score" sheetId="7" state="visible" r:id="rId7"/>
    <sheet xmlns:r="http://schemas.openxmlformats.org/officeDocument/2006/relationships" name="Deliverable Validation" sheetId="8" state="visible" r:id="rId8"/>
    <sheet xmlns:r="http://schemas.openxmlformats.org/officeDocument/2006/relationships" name="Delivery Economics" sheetId="9" state="visible" r:id="rId9"/>
    <sheet xmlns:r="http://schemas.openxmlformats.org/officeDocument/2006/relationships" name="Pricing Recommendation" sheetId="10" state="visible" r:id="rId10"/>
    <sheet xmlns:r="http://schemas.openxmlformats.org/officeDocument/2006/relationships" name="Approval Gate" sheetId="11" state="visible" r:id="rId11"/>
    <sheet xmlns:r="http://schemas.openxmlformats.org/officeDocument/2006/relationships" name="Change Log" sheetId="12" state="visible" r:id="rId12"/>
  </sheets>
  <definedNames>
    <definedName name="_xlnm._FilterDatabase" localSheetId="1" hidden="1">'Scoping Summary'!$A$4:$G$15</definedName>
    <definedName name="_xlnm._FilterDatabase" localSheetId="2" hidden="1">'Strategic Foundation'!$A$4:$G$15</definedName>
    <definedName name="_xlnm._FilterDatabase" localSheetId="3" hidden="1">'Implementation Scope'!$A$4:$I$20</definedName>
    <definedName name="_xlnm._FilterDatabase" localSheetId="4" hidden="1">'Responsibility Map'!$A$4:$G$13</definedName>
    <definedName name="_xlnm._FilterDatabase" localSheetId="5" hidden="1">'Dependencies &amp; Risks'!$A$4:$H$13</definedName>
    <definedName name="_xlnm._FilterDatabase" localSheetId="7" hidden="1">'Deliverable Validation'!$A$4:$G$31</definedName>
    <definedName name="_xlnm._FilterDatabase" localSheetId="10" hidden="1">'Approval Gate'!$A$4:$G$16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B5563"/>
      <sz val="9"/>
    </font>
    <font>
      <name val="Aptos"/>
      <b val="1"/>
      <color rgb="00173B56"/>
      <sz val="9"/>
    </font>
    <font>
      <name val="Aptos"/>
      <color rgb="00000000"/>
      <sz val="9"/>
    </font>
    <font>
      <name val="Aptos"/>
      <b val="1"/>
      <color rgb="001B7F79"/>
      <sz val="11"/>
    </font>
    <font>
      <name val="Aptos Mono"/>
      <color rgb="004B5563"/>
      <sz val="8"/>
    </font>
    <font>
      <name val="Aptos"/>
      <b val="1"/>
      <color rgb="00FFFFFF"/>
      <sz val="8"/>
    </font>
    <font>
      <name val="Aptos"/>
      <color rgb="00000000"/>
      <sz val="8"/>
    </font>
    <font>
      <name val="Aptos"/>
      <b val="1"/>
      <sz val="8"/>
    </font>
    <font>
      <name val="Aptos"/>
      <color rgb="000000FF"/>
      <sz val="8"/>
    </font>
    <font>
      <name val="Aptos"/>
      <b val="1"/>
      <color rgb="00000000"/>
      <sz val="10"/>
    </font>
    <font>
      <name val="Aptos"/>
      <b val="1"/>
      <color rgb="00000000"/>
      <sz val="9"/>
    </font>
    <font>
      <name val="Aptos"/>
      <color rgb="00008000"/>
      <sz val="8"/>
    </font>
  </fonts>
  <fills count="8">
    <fill>
      <patternFill/>
    </fill>
    <fill>
      <patternFill patternType="gray125"/>
    </fill>
    <fill>
      <patternFill patternType="solid">
        <fgColor rgb="00173B56"/>
      </patternFill>
    </fill>
    <fill>
      <patternFill patternType="solid">
        <fgColor rgb="00F3F5F7"/>
      </patternFill>
    </fill>
    <fill>
      <patternFill patternType="solid">
        <fgColor rgb="00E4DFE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4">
    <border>
      <left/>
      <right/>
      <top/>
      <bottom/>
      <diagonal/>
    </border>
    <border>
      <bottom style="medium">
        <color rgb="00173B56"/>
      </bottom>
    </border>
    <border>
      <bottom style="thin">
        <color rgb="00D9E1E7"/>
      </bottom>
    </border>
    <border>
      <top style="medium">
        <color rgb="00173B56"/>
      </top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0" fontId="9" fillId="6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8" fillId="6" borderId="2" applyAlignment="1" pivotButton="0" quotePrefix="0" xfId="0">
      <alignment vertical="top" wrapText="1"/>
    </xf>
    <xf numFmtId="0" fontId="8" fillId="7" borderId="2" applyAlignment="1" pivotButton="0" quotePrefix="0" xfId="0">
      <alignment vertical="top" wrapText="1"/>
    </xf>
    <xf numFmtId="0" fontId="3" fillId="0" borderId="3" pivotButton="0" quotePrefix="0" xfId="0"/>
    <xf numFmtId="0" fontId="0" fillId="0" borderId="3" pivotButton="0" quotePrefix="0" xfId="0"/>
    <xf numFmtId="0" fontId="11" fillId="0" borderId="3" pivotButton="0" quotePrefix="0" xfId="0"/>
    <xf numFmtId="0" fontId="3" fillId="0" borderId="0" pivotButton="0" quotePrefix="0" xfId="0"/>
    <xf numFmtId="0" fontId="12" fillId="4" borderId="0" pivotButton="0" quotePrefix="0" xfId="0"/>
    <xf numFmtId="164" fontId="13" fillId="0" borderId="2" applyAlignment="1" pivotButton="0" quotePrefix="0" xfId="0">
      <alignment vertical="top" wrapText="1"/>
    </xf>
    <xf numFmtId="164" fontId="8" fillId="0" borderId="2" applyAlignment="1" pivotButton="0" quotePrefix="0" xfId="0">
      <alignment vertical="top" wrapText="1"/>
    </xf>
    <xf numFmtId="164" fontId="11" fillId="0" borderId="3" pivotButton="0" quotePrefix="0" xfId="0"/>
    <xf numFmtId="164" fontId="10" fillId="0" borderId="2" applyAlignment="1" pivotButton="0" quotePrefix="0" xfId="0">
      <alignment vertical="top" wrapText="1"/>
    </xf>
    <xf numFmtId="165" fontId="10" fillId="0" borderId="0" pivotButton="0" quotePrefix="0" xfId="0"/>
    <xf numFmtId="165" fontId="1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SimpliCreative</author>
  </authors>
  <commentList>
    <comment ref="E5" authorId="0" shapeId="0">
      <text>
        <t>Blue score inputs are demo assumptions and require human validation before pricing.</t>
      </text>
    </comment>
  </commentList>
</comments>
</file>

<file path=xl/comments/comment2.xml><?xml version="1.0" encoding="utf-8"?>
<comments xmlns="http://schemas.openxmlformats.org/spreadsheetml/2006/main">
  <authors>
    <author>SimpliCreative</author>
  </authors>
  <commentList>
    <comment ref="C5" authorId="0" shapeId="0">
      <text>
        <t>Internal reference value from current pricing source. Do not expose in client proposal.</t>
      </text>
    </comment>
  </commentList>
</comments>
</file>

<file path=xl/comments/comment3.xml><?xml version="1.0" encoding="utf-8"?>
<comments xmlns="http://schemas.openxmlformats.org/spreadsheetml/2006/main">
  <authors>
    <author>SimpliCreative</author>
  </authors>
  <commentList>
    <comment ref="B15" authorId="0" shapeId="0">
      <text>
        <t>Final Foundation price requires explicit human commercial approval.</t>
      </text>
    </comment>
  </commentList>
</comments>
</file>

<file path=xl/tables/table1.xml><?xml version="1.0" encoding="utf-8"?>
<table xmlns="http://schemas.openxmlformats.org/spreadsheetml/2006/main" id="1" name="ScopingSummaryTable" displayName="ScopingSummaryTable" ref="A4:G15" headerRowCount="1">
  <autoFilter ref="A4:G15"/>
  <tableColumns count="7">
    <tableColumn id="1" name="Field"/>
    <tableColumn id="2" name="Current Demo State"/>
    <tableColumn id="3" name="Status"/>
    <tableColumn id="4" name="Source / Basis"/>
    <tableColumn id="5" name="Owner"/>
    <tableColumn id="6" name="Decision / Action"/>
    <tableColumn id="7" name="Client-Facing?"/>
  </tableColumns>
  <tableStyleInfo name="TableStyleMedium2" showRowStripes="1"/>
</table>
</file>

<file path=xl/tables/table2.xml><?xml version="1.0" encoding="utf-8"?>
<table xmlns="http://schemas.openxmlformats.org/spreadsheetml/2006/main" id="2" name="StrategicFoundationTable" displayName="StrategicFoundationTable" ref="A4:G15" headerRowCount="1">
  <autoFilter ref="A4:G15"/>
  <tableColumns count="7">
    <tableColumn id="1" name="Strategic Input"/>
    <tableColumn id="2" name="Required State"/>
    <tableColumn id="3" name="Demo State"/>
    <tableColumn id="4" name="Status"/>
    <tableColumn id="5" name="Evidence / Source"/>
    <tableColumn id="6" name="Remaining Unknown"/>
    <tableColumn id="7" name="Action"/>
  </tableColumns>
  <tableStyleInfo name="TableStyleMedium2" showRowStripes="1"/>
</table>
</file>

<file path=xl/tables/table3.xml><?xml version="1.0" encoding="utf-8"?>
<table xmlns="http://schemas.openxmlformats.org/spreadsheetml/2006/main" id="3" name="ImplementationScopeTable" displayName="ImplementationScopeTable" ref="A4:I20" headerRowCount="1">
  <autoFilter ref="A4:I20"/>
  <tableColumns count="9">
    <tableColumn id="1" name="Workstream"/>
    <tableColumn id="2" name="In Scope?"/>
    <tableColumn id="3" name="Implementation Requirement"/>
    <tableColumn id="4" name="Known Quantity / Level"/>
    <tableColumn id="5" name="Open Scoping Question"/>
    <tableColumn id="6" name="Client Responsibility"/>
    <tableColumn id="7" name="SimpliCreative Responsibility"/>
    <tableColumn id="8" name="Status"/>
    <tableColumn id="9" name="Strategic Impact if Changed"/>
  </tableColumns>
  <tableStyleInfo name="TableStyleMedium2" showRowStripes="1"/>
</table>
</file>

<file path=xl/tables/table4.xml><?xml version="1.0" encoding="utf-8"?>
<table xmlns="http://schemas.openxmlformats.org/spreadsheetml/2006/main" id="4" name="ResponsibilityMapTable" displayName="ResponsibilityMapTable" ref="A4:G13" headerRowCount="1">
  <autoFilter ref="A4:G13"/>
  <tableColumns count="7">
    <tableColumn id="1" name="Area"/>
    <tableColumn id="2" name="SimpliCreative"/>
    <tableColumn id="3" name="Northstar"/>
    <tableColumn id="4" name="Existing / Other Partner"/>
    <tableColumn id="5" name="Decision Needed"/>
    <tableColumn id="6" name="Status"/>
    <tableColumn id="7" name="Commercial Impact"/>
  </tableColumns>
  <tableStyleInfo name="TableStyleMedium2" showRowStripes="1"/>
</table>
</file>

<file path=xl/tables/table5.xml><?xml version="1.0" encoding="utf-8"?>
<table xmlns="http://schemas.openxmlformats.org/spreadsheetml/2006/main" id="5" name="DependenciesRisksTable" displayName="DependenciesRisksTable" ref="A4:H13" headerRowCount="1">
  <autoFilter ref="A4:H13"/>
  <tableColumns count="8">
    <tableColumn id="1" name="ID"/>
    <tableColumn id="2" name="Dependency / Risk"/>
    <tableColumn id="3" name="Type"/>
    <tableColumn id="4" name="Impact if Unresolved"/>
    <tableColumn id="5" name="Owner"/>
    <tableColumn id="6" name="Required Resolution"/>
    <tableColumn id="7" name="Status"/>
    <tableColumn id="8" name="Pricing / Scope Effect"/>
  </tableColumns>
  <tableStyleInfo name="TableStyleMedium2" showRowStripes="1"/>
</table>
</file>

<file path=xl/tables/table6.xml><?xml version="1.0" encoding="utf-8"?>
<table xmlns="http://schemas.openxmlformats.org/spreadsheetml/2006/main" id="6" name="ComplexityScoreTable" displayName="ComplexityScoreTable" ref="A4:G19" headerRowCount="1">
  <autoFilter ref="A4:G19"/>
  <tableColumns count="7">
    <tableColumn id="1" name="Dimension"/>
    <tableColumn id="2" name="Simple (1)"/>
    <tableColumn id="3" name="Moderate (2)"/>
    <tableColumn id="4" name="Complex (3)"/>
    <tableColumn id="5" name="Demo Score"/>
    <tableColumn id="6" name="Demo Basis"/>
    <tableColumn id="7" name="Human Review"/>
  </tableColumns>
  <tableStyleInfo name="TableStyleMedium2" showRowStripes="1"/>
</table>
</file>

<file path=xl/tables/table7.xml><?xml version="1.0" encoding="utf-8"?>
<table xmlns="http://schemas.openxmlformats.org/spreadsheetml/2006/main" id="7" name="DeliverableValidationTable" displayName="DeliverableValidationTable" ref="A4:G31" headerRowCount="1">
  <autoFilter ref="A4:G31"/>
  <tableColumns count="7">
    <tableColumn id="1" name="Deliverable / Workstream"/>
    <tableColumn id="2" name="Included?"/>
    <tableColumn id="3" name="Internal Reference Value"/>
    <tableColumn id="4" name="Qty"/>
    <tableColumn id="5" name="Extended Reference Value"/>
    <tableColumn id="6" name="Notes"/>
    <tableColumn id="7" name="Review"/>
  </tableColumns>
  <tableStyleInfo name="TableStyleMedium2" showRowStripes="1"/>
</table>
</file>

<file path=xl/tables/table8.xml><?xml version="1.0" encoding="utf-8"?>
<table xmlns="http://schemas.openxmlformats.org/spreadsheetml/2006/main" id="8" name="DeliveryEconomicsTable" displayName="DeliveryEconomicsTable" ref="A4:G12" headerRowCount="1">
  <autoFilter ref="A4:G12"/>
  <tableColumns count="7">
    <tableColumn id="1" name="Role / Cost"/>
    <tableColumn id="2" name="Estimated Hours / Qty"/>
    <tableColumn id="3" name="Loaded Rate / Unit Cost"/>
    <tableColumn id="4" name="Extended Cost"/>
    <tableColumn id="5" name="Source / Basis"/>
    <tableColumn id="6" name="Status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PricingRecommendationTable" displayName="PricingRecommendationTable" ref="A4:F15" headerRowCount="1">
  <autoFilter ref="A4:F15"/>
  <tableColumns count="6">
    <tableColumn id="1" name="Control"/>
    <tableColumn id="2" name="Value"/>
    <tableColumn id="3" name="Status"/>
    <tableColumn id="4" name="Interpretation"/>
    <tableColumn id="5" name="Human Decision"/>
    <tableColumn id="6" name="Client-Facing?"/>
  </tableColumns>
  <tableStyleInfo name="TableStyleMedium2" showRowStripes="1"/>
</table>
</file>

<file path=xl/tables/table10.xml><?xml version="1.0" encoding="utf-8"?>
<table xmlns="http://schemas.openxmlformats.org/spreadsheetml/2006/main" id="10" name="ApprovalGateTable" displayName="ApprovalGateTable" ref="A4:G16" headerRowCount="1">
  <autoFilter ref="A4:G16"/>
  <tableColumns count="7">
    <tableColumn id="1" name="Gate"/>
    <tableColumn id="2" name="Required State"/>
    <tableColumn id="3" name="Demo State"/>
    <tableColumn id="4" name="Status"/>
    <tableColumn id="5" name="Owner"/>
    <tableColumn id="6" name="Evidence / Decision"/>
    <tableColumn id="7" name="Blocks Proposal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85"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6" customWidth="1" min="3" max="3"/>
    <col width="16" customWidth="1" min="4" max="4"/>
  </cols>
  <sheetData>
    <row r="1" ht="28" customHeight="1">
      <c r="A1" s="1" t="inlineStr">
        <is>
          <t>Foundation Scoping Record — Northstar Demo</t>
        </is>
      </c>
    </row>
    <row r="2" ht="34" customHeight="1">
      <c r="A2" s="2" t="inlineStr">
        <is>
          <t>Internal commercial/scoping record. Foundation Scoping determines how an already-established strategy should be implemented. It is narrower than Blueprint and does not recreate strategy.</t>
        </is>
      </c>
    </row>
    <row r="4" ht="42" customHeight="1">
      <c r="A4" s="3" t="inlineStr">
        <is>
          <t>Purpose</t>
        </is>
      </c>
      <c r="B4" s="4" t="inlineStr">
        <is>
          <t>Translate an approved strategic foundation into implementation scope, responsibilities, complexity, delivery economics, and a human-reviewable fixed-price recommendation.</t>
        </is>
      </c>
    </row>
    <row r="5" ht="42" customHeight="1">
      <c r="A5" s="3" t="inlineStr">
        <is>
          <t>When used</t>
        </is>
      </c>
      <c r="B5" s="4" t="inlineStr">
        <is>
          <t>Direct-to-Foundation when strategy is already sufficiently established, or as the implementation/commercial scoping record after an approved Blueprint when a fixed Foundation scope still needs to be priced.</t>
        </is>
      </c>
    </row>
    <row r="6" ht="42" customHeight="1">
      <c r="A6" s="3" t="inlineStr">
        <is>
          <t>Demo boundary</t>
        </is>
      </c>
      <c r="B6" s="4" t="inlineStr">
        <is>
          <t>Northstar previously served as the Blueprint demonstration. This workbook assumes the strategic direction is now approved and uses the full-scope Foundation scenario for illustration. It does not rewrite the prior Diagnostic route.</t>
        </is>
      </c>
    </row>
    <row r="7" ht="42" customHeight="1">
      <c r="A7" s="3" t="inlineStr">
        <is>
          <t>Important boundary</t>
        </is>
      </c>
      <c r="B7" s="4" t="inlineStr">
        <is>
          <t>Foundation Scoping answers how approved strategy should be implemented. Material strategic unknowns route back to strategic review rather than being quietly resolved here.</t>
        </is>
      </c>
    </row>
    <row r="8" ht="42" customHeight="1">
      <c r="A8" s="3" t="inlineStr">
        <is>
          <t>Pricing boundary</t>
        </is>
      </c>
      <c r="B8" s="4" t="inlineStr">
        <is>
          <t>Complexity, reference value, and delivery economics must validate one another. AI may calculate and recommend. All Foundation pricing requires human approval.</t>
        </is>
      </c>
    </row>
    <row r="9" ht="42" customHeight="1">
      <c r="A9" s="3" t="inlineStr">
        <is>
          <t>Client-facing boundary</t>
        </is>
      </c>
      <c r="B9" s="4" t="inlineStr">
        <is>
          <t>The client normally receives one fixed Foundation investment. Complexity score, internal pricing band, reference values, labor cost, gross margin, and AI confidence remain internal.</t>
        </is>
      </c>
    </row>
    <row r="11">
      <c r="A11" s="5" t="inlineStr">
        <is>
          <t>Core rules</t>
        </is>
      </c>
    </row>
    <row r="12">
      <c r="A12" s="6" t="inlineStr">
        <is>
          <t>FOUNDATION_SCOPING != BLUEPRINT</t>
        </is>
      </c>
    </row>
    <row r="13">
      <c r="A13" s="6" t="inlineStr">
        <is>
          <t>IMPLEMENTATION_UNKNOWN != STRATEGIC_UNKNOWN</t>
        </is>
      </c>
    </row>
    <row r="14">
      <c r="A14" s="6" t="inlineStr">
        <is>
          <t>COMPLEXITY → REFERENCE VALUE → DELIVERY ECONOMICS</t>
        </is>
      </c>
    </row>
    <row r="15">
      <c r="A15" s="6" t="inlineStr">
        <is>
          <t>AI_RECOMMENDATION != HUMAN_PRICE_APPROVAL</t>
        </is>
      </c>
    </row>
    <row r="16">
      <c r="A16" s="6" t="inlineStr">
        <is>
          <t>CLIENT_FACING_PRICE = ONE_FIXED_INVESTMENT</t>
        </is>
      </c>
    </row>
    <row r="17">
      <c r="A17" s="6" t="inlineStr">
        <is>
          <t>INTERNAL_ECONOMICS_MUST_NOT_APPEAR_IN_PROPOSAL</t>
        </is>
      </c>
    </row>
  </sheetData>
  <mergeCells count="8">
    <mergeCell ref="A17:D17"/>
    <mergeCell ref="A12:D12"/>
    <mergeCell ref="A2:H2"/>
    <mergeCell ref="A15:D15"/>
    <mergeCell ref="A16:D16"/>
    <mergeCell ref="A1:H1"/>
    <mergeCell ref="A13:D13"/>
    <mergeCell ref="A14:D14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24" customWidth="1" min="3" max="3"/>
    <col width="34" customWidth="1" min="4" max="4"/>
    <col width="22" customWidth="1" min="5" max="5"/>
    <col width="44" customWidth="1" min="6" max="6"/>
    <col width="14" customWidth="1" min="7" max="7"/>
  </cols>
  <sheetData>
    <row r="1" ht="28" customHeight="1">
      <c r="A1" s="1" t="inlineStr">
        <is>
          <t>Scoping Summary</t>
        </is>
      </c>
    </row>
    <row r="2" ht="34" customHeight="1">
      <c r="A2" s="2" t="inlineStr">
        <is>
          <t>Internal executive view of implementation context, scope state, complexity, and commercial readiness.</t>
        </is>
      </c>
    </row>
    <row r="4" ht="34" customHeight="1">
      <c r="A4" s="7" t="inlineStr">
        <is>
          <t>Field</t>
        </is>
      </c>
      <c r="B4" s="7" t="inlineStr">
        <is>
          <t>Current Demo State</t>
        </is>
      </c>
      <c r="C4" s="7" t="inlineStr">
        <is>
          <t>Status</t>
        </is>
      </c>
      <c r="D4" s="7" t="inlineStr">
        <is>
          <t>Source / Basis</t>
        </is>
      </c>
      <c r="E4" s="7" t="inlineStr">
        <is>
          <t>Owner</t>
        </is>
      </c>
      <c r="F4" s="7" t="inlineStr">
        <is>
          <t>Decision / Action</t>
        </is>
      </c>
      <c r="G4" s="7" t="inlineStr">
        <is>
          <t>Client-Facing?</t>
        </is>
      </c>
    </row>
    <row r="5">
      <c r="A5" s="8" t="inlineStr">
        <is>
          <t>Entry Path</t>
        </is>
      </c>
      <c r="B5" s="8" t="inlineStr">
        <is>
          <t>Approved Blueprint → Foundation Scoping</t>
        </is>
      </c>
      <c r="C5" s="9" t="inlineStr">
        <is>
          <t>DEMO ASSUMPTION</t>
        </is>
      </c>
      <c r="D5" s="8" t="inlineStr">
        <is>
          <t>Northstar demo sequence</t>
        </is>
      </c>
      <c r="E5" s="8" t="inlineStr">
        <is>
          <t>Strategist</t>
        </is>
      </c>
      <c r="F5" s="8" t="inlineStr">
        <is>
          <t>Use approved Blueprint as strategic source.</t>
        </is>
      </c>
      <c r="G5" s="8" t="inlineStr">
        <is>
          <t>No</t>
        </is>
      </c>
    </row>
    <row r="6">
      <c r="A6" s="8" t="inlineStr">
        <is>
          <t>Business Objective</t>
        </is>
      </c>
      <c r="B6" s="8" t="inlineStr">
        <is>
          <t>Increase qualified corporate leadership conversations and improve visibility into marketing contribution.</t>
        </is>
      </c>
      <c r="C6" s="10" t="inlineStr">
        <is>
          <t>APPROVED FOR DEMO</t>
        </is>
      </c>
      <c r="D6" s="8" t="inlineStr">
        <is>
          <t>Approved Blueprint scenario</t>
        </is>
      </c>
      <c r="E6" s="8" t="inlineStr">
        <is>
          <t>Client + Strategist</t>
        </is>
      </c>
      <c r="F6" s="8" t="inlineStr">
        <is>
          <t>Preserve through implementation.</t>
        </is>
      </c>
      <c r="G6" s="8" t="inlineStr">
        <is>
          <t>Yes</t>
        </is>
      </c>
    </row>
    <row r="7">
      <c r="A7" s="8" t="inlineStr">
        <is>
          <t>Website Objective</t>
        </is>
      </c>
      <c r="B7" s="8" t="inlineStr">
        <is>
          <t>Support corporate buyer evaluation, proof, routing, and meaningful conversion while retaining individual learner path.</t>
        </is>
      </c>
      <c r="C7" s="10" t="inlineStr">
        <is>
          <t>APPROVED FOR DEMO</t>
        </is>
      </c>
      <c r="D7" s="8" t="inlineStr">
        <is>
          <t>Approved Blueprint scenario</t>
        </is>
      </c>
      <c r="E7" s="8" t="inlineStr">
        <is>
          <t>Strategist</t>
        </is>
      </c>
      <c r="F7" s="8" t="inlineStr">
        <is>
          <t>Preserve through architecture and UX.</t>
        </is>
      </c>
      <c r="G7" s="8" t="inlineStr">
        <is>
          <t>Yes</t>
        </is>
      </c>
    </row>
    <row r="8">
      <c r="A8" s="8" t="inlineStr">
        <is>
          <t>Primary Buyer</t>
        </is>
      </c>
      <c r="B8" s="8" t="inlineStr">
        <is>
          <t>Corporate leadership / sales / L&amp;D decision-makers; individual professionals secondary.</t>
        </is>
      </c>
      <c r="C8" s="10" t="inlineStr">
        <is>
          <t>APPROVED FOR DEMO</t>
        </is>
      </c>
      <c r="D8" s="8" t="inlineStr">
        <is>
          <t>Approved Blueprint scenario</t>
        </is>
      </c>
      <c r="E8" s="8" t="inlineStr">
        <is>
          <t>Strategist</t>
        </is>
      </c>
      <c r="F8" s="8" t="inlineStr">
        <is>
          <t>Use for page roles and CTA logic.</t>
        </is>
      </c>
      <c r="G8" s="8" t="inlineStr">
        <is>
          <t>Yes</t>
        </is>
      </c>
    </row>
    <row r="9">
      <c r="A9" s="8" t="inlineStr">
        <is>
          <t>Implementation Variant</t>
        </is>
      </c>
      <c r="B9" s="8" t="inlineStr">
        <is>
          <t>Full custom SimpliFoundation</t>
        </is>
      </c>
      <c r="C9" s="9" t="inlineStr">
        <is>
          <t>DEMO ASSUMPTION</t>
        </is>
      </c>
      <c r="D9" s="8" t="inlineStr">
        <is>
          <t>Full-scope proposal scenario</t>
        </is>
      </c>
      <c r="E9" s="8" t="inlineStr">
        <is>
          <t>Commercial Lead</t>
        </is>
      </c>
      <c r="F9" s="8" t="inlineStr">
        <is>
          <t>Validate final scope before pricing.</t>
        </is>
      </c>
      <c r="G9" s="8" t="inlineStr">
        <is>
          <t>Yes</t>
        </is>
      </c>
    </row>
    <row r="10">
      <c r="A10" s="8" t="inlineStr">
        <is>
          <t>Strategic Unknowns</t>
        </is>
      </c>
      <c r="B10" s="8" t="inlineStr">
        <is>
          <t>None assumed material for demo.</t>
        </is>
      </c>
      <c r="C10" s="11" t="inlineStr">
        <is>
          <t>HUMAN REVIEW</t>
        </is>
      </c>
      <c r="D10" s="8" t="inlineStr">
        <is>
          <t>Must be validated before Foundation bypass / activation.</t>
        </is>
      </c>
      <c r="E10" s="8" t="inlineStr">
        <is>
          <t>Strategist</t>
        </is>
      </c>
      <c r="F10" s="8" t="inlineStr">
        <is>
          <t>Escalate any material strategic unknown.</t>
        </is>
      </c>
      <c r="G10" s="8" t="inlineStr">
        <is>
          <t>No</t>
        </is>
      </c>
    </row>
    <row r="11">
      <c r="A11" s="8" t="inlineStr">
        <is>
          <t>Implementation Unknowns</t>
        </is>
      </c>
      <c r="B11" s="8" t="inlineStr">
        <is>
          <t>Final page count, component count, migration volume, exact integrations, final event taxonomy, final stakeholder cadence.</t>
        </is>
      </c>
      <c r="C11" s="11" t="inlineStr">
        <is>
          <t>OPEN</t>
        </is>
      </c>
      <c r="D11" s="8" t="inlineStr">
        <is>
          <t>Scoping inputs incomplete</t>
        </is>
      </c>
      <c r="E11" s="8" t="inlineStr">
        <is>
          <t>Project Lead</t>
        </is>
      </c>
      <c r="F11" s="8" t="inlineStr">
        <is>
          <t>Resolve before fixed-price approval where material.</t>
        </is>
      </c>
      <c r="G11" s="8" t="inlineStr">
        <is>
          <t>No</t>
        </is>
      </c>
    </row>
    <row r="12">
      <c r="A12" s="8" t="inlineStr">
        <is>
          <t>Complexity Score</t>
        </is>
      </c>
      <c r="B12" s="8" t="inlineStr">
        <is>
          <t>See Complexity Score tab.</t>
        </is>
      </c>
      <c r="C12" s="9" t="inlineStr">
        <is>
          <t>FORMULA</t>
        </is>
      </c>
      <c r="D12" s="8" t="inlineStr"/>
      <c r="E12" s="8" t="inlineStr">
        <is>
          <t>Commercial Lead</t>
        </is>
      </c>
      <c r="F12" s="8" t="inlineStr">
        <is>
          <t>Validate scored assumptions.</t>
        </is>
      </c>
      <c r="G12" s="8" t="inlineStr">
        <is>
          <t>No</t>
        </is>
      </c>
    </row>
    <row r="13">
      <c r="A13" s="8" t="inlineStr">
        <is>
          <t>Reference Value</t>
        </is>
      </c>
      <c r="B13" s="8" t="inlineStr">
        <is>
          <t>See Deliverable Validation tab.</t>
        </is>
      </c>
      <c r="C13" s="9" t="inlineStr">
        <is>
          <t>FORMULA / INTERNAL</t>
        </is>
      </c>
      <c r="D13" s="8" t="inlineStr"/>
      <c r="E13" s="8" t="inlineStr">
        <is>
          <t>Commercial Lead</t>
        </is>
      </c>
      <c r="F13" s="8" t="inlineStr">
        <is>
          <t>Validate included deliverables.</t>
        </is>
      </c>
      <c r="G13" s="8" t="inlineStr">
        <is>
          <t>No</t>
        </is>
      </c>
    </row>
    <row r="14">
      <c r="A14" s="8" t="inlineStr">
        <is>
          <t>Delivery Economics</t>
        </is>
      </c>
      <c r="B14" s="8" t="inlineStr">
        <is>
          <t>See Delivery Economics tab.</t>
        </is>
      </c>
      <c r="C14" s="11" t="inlineStr">
        <is>
          <t>INCOMPLETE</t>
        </is>
      </c>
      <c r="D14" s="8" t="inlineStr"/>
      <c r="E14" s="8" t="inlineStr">
        <is>
          <t>Commercial Lead</t>
        </is>
      </c>
      <c r="F14" s="8" t="inlineStr">
        <is>
          <t>Populate current role/cost assumptions.</t>
        </is>
      </c>
      <c r="G14" s="8" t="inlineStr">
        <is>
          <t>No</t>
        </is>
      </c>
    </row>
    <row r="15">
      <c r="A15" s="8" t="inlineStr">
        <is>
          <t>Recommended Fixed Investment</t>
        </is>
      </c>
      <c r="B15" s="8" t="inlineStr">
        <is>
          <t>See Pricing Recommendation tab.</t>
        </is>
      </c>
      <c r="C15" s="12" t="inlineStr">
        <is>
          <t>BLOCKED UNTIL ECONOMICS + HUMAN APPROVAL</t>
        </is>
      </c>
      <c r="D15" s="8" t="inlineStr"/>
      <c r="E15" s="8" t="inlineStr">
        <is>
          <t>Commercial Approver</t>
        </is>
      </c>
      <c r="F15" s="8" t="inlineStr">
        <is>
          <t>Approve one fixed investment.</t>
        </is>
      </c>
      <c r="G15" s="8" t="inlineStr">
        <is>
          <t>Yes</t>
        </is>
      </c>
    </row>
  </sheetData>
  <autoFilter ref="A4:G15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2" customWidth="1" min="3" max="3"/>
    <col width="22" customWidth="1" min="4" max="4"/>
    <col width="34" customWidth="1" min="5" max="5"/>
    <col width="42" customWidth="1" min="6" max="6"/>
    <col width="28" customWidth="1" min="7" max="7"/>
  </cols>
  <sheetData>
    <row r="1" ht="28" customHeight="1">
      <c r="A1" s="1" t="inlineStr">
        <is>
          <t>Strategic Foundation Validation</t>
        </is>
      </c>
    </row>
    <row r="2" ht="34" customHeight="1">
      <c r="A2" s="2" t="inlineStr">
        <is>
          <t>This tab confirms whether strategy is sufficient for Foundation. It does not redevelop strategy.</t>
        </is>
      </c>
    </row>
    <row r="4" ht="34" customHeight="1">
      <c r="A4" s="7" t="inlineStr">
        <is>
          <t>Strategic Input</t>
        </is>
      </c>
      <c r="B4" s="7" t="inlineStr">
        <is>
          <t>Required State</t>
        </is>
      </c>
      <c r="C4" s="7" t="inlineStr">
        <is>
          <t>Demo State</t>
        </is>
      </c>
      <c r="D4" s="7" t="inlineStr">
        <is>
          <t>Status</t>
        </is>
      </c>
      <c r="E4" s="7" t="inlineStr">
        <is>
          <t>Evidence / Source</t>
        </is>
      </c>
      <c r="F4" s="7" t="inlineStr">
        <is>
          <t>Remaining Unknown</t>
        </is>
      </c>
      <c r="G4" s="7" t="inlineStr">
        <is>
          <t>Action</t>
        </is>
      </c>
    </row>
    <row r="5">
      <c r="A5" s="8" t="inlineStr">
        <is>
          <t>Business Objective</t>
        </is>
      </c>
      <c r="B5" s="8" t="inlineStr">
        <is>
          <t>Approved</t>
        </is>
      </c>
      <c r="C5" s="8" t="inlineStr">
        <is>
          <t>Qualified corporate growth + clearer marketing contribution.</t>
        </is>
      </c>
      <c r="D5" s="10" t="inlineStr">
        <is>
          <t>APPROVED FOR DEMO</t>
        </is>
      </c>
      <c r="E5" s="8" t="inlineStr">
        <is>
          <t>Approved Blueprint scenario</t>
        </is>
      </c>
      <c r="F5" s="8" t="inlineStr"/>
      <c r="G5" s="8" t="inlineStr">
        <is>
          <t>Preserve</t>
        </is>
      </c>
    </row>
    <row r="6">
      <c r="A6" s="8" t="inlineStr">
        <is>
          <t>Website Objective</t>
        </is>
      </c>
      <c r="B6" s="8" t="inlineStr">
        <is>
          <t>Approved</t>
        </is>
      </c>
      <c r="C6" s="8" t="inlineStr">
        <is>
          <t>Support evaluation, proof, routing, conversion, and measurement.</t>
        </is>
      </c>
      <c r="D6" s="10" t="inlineStr">
        <is>
          <t>APPROVED FOR DEMO</t>
        </is>
      </c>
      <c r="E6" s="8" t="inlineStr">
        <is>
          <t>Approved Blueprint scenario</t>
        </is>
      </c>
      <c r="F6" s="8" t="inlineStr"/>
      <c r="G6" s="8" t="inlineStr">
        <is>
          <t>Preserve</t>
        </is>
      </c>
    </row>
    <row r="7">
      <c r="A7" s="8" t="inlineStr">
        <is>
          <t>ICP / Primary Buyers</t>
        </is>
      </c>
      <c r="B7" s="8" t="inlineStr">
        <is>
          <t>Approved</t>
        </is>
      </c>
      <c r="C7" s="8" t="inlineStr">
        <is>
          <t>Corporate decision-makers primary; individual learner secondary.</t>
        </is>
      </c>
      <c r="D7" s="10" t="inlineStr">
        <is>
          <t>APPROVED FOR DEMO</t>
        </is>
      </c>
      <c r="E7" s="8" t="inlineStr">
        <is>
          <t>Approved Blueprint scenario</t>
        </is>
      </c>
      <c r="F7" s="8" t="inlineStr"/>
      <c r="G7" s="8" t="inlineStr">
        <is>
          <t>Preserve</t>
        </is>
      </c>
    </row>
    <row r="8">
      <c r="A8" s="8" t="inlineStr">
        <is>
          <t>Positioning</t>
        </is>
      </c>
      <c r="B8" s="8" t="inlineStr">
        <is>
          <t>Sufficiently established</t>
        </is>
      </c>
      <c r="C8" s="8" t="inlineStr">
        <is>
          <t>Executive learning partner with faculty depth, customization, business relevance, and enterprise credibility.</t>
        </is>
      </c>
      <c r="D8" s="10" t="inlineStr">
        <is>
          <t>APPROVED FOR DEMO</t>
        </is>
      </c>
      <c r="E8" s="8" t="inlineStr">
        <is>
          <t>Approved Blueprint scenario</t>
        </is>
      </c>
      <c r="F8" s="8" t="inlineStr"/>
      <c r="G8" s="8" t="inlineStr">
        <is>
          <t>Preserve</t>
        </is>
      </c>
    </row>
    <row r="9">
      <c r="A9" s="8" t="inlineStr">
        <is>
          <t>Differentiation / UVP</t>
        </is>
      </c>
      <c r="B9" s="8" t="inlineStr">
        <is>
          <t>Sufficiently established</t>
        </is>
      </c>
      <c r="C9" s="8" t="inlineStr">
        <is>
          <t>Differentiation is stronger in sales conversation than current digital experience.</t>
        </is>
      </c>
      <c r="D9" s="10" t="inlineStr">
        <is>
          <t>APPROVED FOR DEMO</t>
        </is>
      </c>
      <c r="E9" s="8" t="inlineStr">
        <is>
          <t>Approved Blueprint scenario</t>
        </is>
      </c>
      <c r="F9" s="8" t="inlineStr"/>
      <c r="G9" s="8" t="inlineStr">
        <is>
          <t>Translate into proof + messaging</t>
        </is>
      </c>
    </row>
    <row r="10">
      <c r="A10" s="8" t="inlineStr">
        <is>
          <t>Core Offers</t>
        </is>
      </c>
      <c r="B10" s="8" t="inlineStr">
        <is>
          <t>Defined</t>
        </is>
      </c>
      <c r="C10" s="8" t="inlineStr">
        <is>
          <t>Corporate programs + individual/seminar pathways.</t>
        </is>
      </c>
      <c r="D10" s="10" t="inlineStr">
        <is>
          <t>APPROVED FOR DEMO</t>
        </is>
      </c>
      <c r="E10" s="8" t="inlineStr">
        <is>
          <t>Approved Blueprint scenario</t>
        </is>
      </c>
      <c r="F10" s="8" t="inlineStr">
        <is>
          <t>Exact product inventory for final architecture.</t>
        </is>
      </c>
      <c r="G10" s="8" t="inlineStr">
        <is>
          <t>Implementation detail</t>
        </is>
      </c>
    </row>
    <row r="11">
      <c r="A11" s="8" t="inlineStr">
        <is>
          <t>Messaging Direction</t>
        </is>
      </c>
      <c r="B11" s="8" t="inlineStr">
        <is>
          <t>Sufficiently established</t>
        </is>
      </c>
      <c r="C11" s="8" t="inlineStr">
        <is>
          <t>Corporate-first, proof-aware, decision-supporting narrative.</t>
        </is>
      </c>
      <c r="D11" s="10" t="inlineStr">
        <is>
          <t>APPROVED FOR DEMO</t>
        </is>
      </c>
      <c r="E11" s="8" t="inlineStr">
        <is>
          <t>Approved Blueprint scenario</t>
        </is>
      </c>
      <c r="F11" s="8" t="inlineStr"/>
      <c r="G11" s="8" t="inlineStr">
        <is>
          <t>Preserve</t>
        </is>
      </c>
    </row>
    <row r="12">
      <c r="A12" s="8" t="inlineStr">
        <is>
          <t>Buyer Journey</t>
        </is>
      </c>
      <c r="B12" s="8" t="inlineStr">
        <is>
          <t>Sufficiently established</t>
        </is>
      </c>
      <c r="C12" s="8" t="inlineStr">
        <is>
          <t>Awareness/evaluation occurs across referrals, events, PR, faculty visibility, social/content, then website evaluation.</t>
        </is>
      </c>
      <c r="D12" s="10" t="inlineStr">
        <is>
          <t>APPROVED FOR DEMO</t>
        </is>
      </c>
      <c r="E12" s="8" t="inlineStr">
        <is>
          <t>Approved Blueprint scenario</t>
        </is>
      </c>
      <c r="F12" s="8" t="inlineStr">
        <is>
          <t>Final page-by-page routing.</t>
        </is>
      </c>
      <c r="G12" s="8" t="inlineStr">
        <is>
          <t>Implementation detail</t>
        </is>
      </c>
    </row>
    <row r="13">
      <c r="A13" s="8" t="inlineStr">
        <is>
          <t>Conversion Objectives</t>
        </is>
      </c>
      <c r="B13" s="8" t="inlineStr">
        <is>
          <t>Defined</t>
        </is>
      </c>
      <c r="C13" s="8" t="inlineStr">
        <is>
          <t>Qualified corporate consultation + lower-friction supporting paths.</t>
        </is>
      </c>
      <c r="D13" s="10" t="inlineStr">
        <is>
          <t>APPROVED FOR DEMO</t>
        </is>
      </c>
      <c r="E13" s="8" t="inlineStr">
        <is>
          <t>Approved Blueprint scenario</t>
        </is>
      </c>
      <c r="F13" s="8" t="inlineStr">
        <is>
          <t>Final form/CRM fields.</t>
        </is>
      </c>
      <c r="G13" s="8" t="inlineStr">
        <is>
          <t>Implementation detail</t>
        </is>
      </c>
    </row>
    <row r="14">
      <c r="A14" s="8" t="inlineStr">
        <is>
          <t>Success Criteria</t>
        </is>
      </c>
      <c r="B14" s="8" t="inlineStr">
        <is>
          <t>Defined enough to scope</t>
        </is>
      </c>
      <c r="C14" s="8" t="inlineStr">
        <is>
          <t>Meaningful buyer progression + more trustworthy measurement.</t>
        </is>
      </c>
      <c r="D14" s="10" t="inlineStr">
        <is>
          <t>APPROVED FOR DEMO</t>
        </is>
      </c>
      <c r="E14" s="8" t="inlineStr">
        <is>
          <t>Approved Blueprint scenario</t>
        </is>
      </c>
      <c r="F14" s="8" t="inlineStr">
        <is>
          <t>Exact post-launch baseline and targets.</t>
        </is>
      </c>
      <c r="G14" s="8" t="inlineStr">
        <is>
          <t>Implementation detail</t>
        </is>
      </c>
    </row>
    <row r="15">
      <c r="A15" s="8" t="inlineStr">
        <is>
          <t>Material Strategic Unknowns</t>
        </is>
      </c>
      <c r="B15" s="8" t="inlineStr">
        <is>
          <t>None that would materially change implementation scope</t>
        </is>
      </c>
      <c r="C15" s="8" t="inlineStr">
        <is>
          <t>None assumed for demo.</t>
        </is>
      </c>
      <c r="D15" s="11" t="inlineStr">
        <is>
          <t>HUMAN REVIEW</t>
        </is>
      </c>
      <c r="E15" s="8" t="inlineStr">
        <is>
          <t>Requires strategist confirmation before pricing.</t>
        </is>
      </c>
      <c r="F15" s="8" t="inlineStr">
        <is>
          <t>If discovered, route back to strategic review.</t>
        </is>
      </c>
      <c r="G15" s="8" t="inlineStr">
        <is>
          <t>Gate</t>
        </is>
      </c>
    </row>
  </sheetData>
  <autoFilter ref="A4:G15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4" customWidth="1" min="3" max="3"/>
    <col width="24" customWidth="1" min="4" max="4"/>
    <col width="48" customWidth="1" min="5" max="5"/>
    <col width="44" customWidth="1" min="6" max="6"/>
    <col width="44" customWidth="1" min="7" max="7"/>
    <col width="18" customWidth="1" min="8" max="8"/>
    <col width="22" customWidth="1" min="9" max="9"/>
  </cols>
  <sheetData>
    <row r="1" ht="28" customHeight="1">
      <c r="A1" s="1" t="inlineStr">
        <is>
          <t>Implementation Scope</t>
        </is>
      </c>
    </row>
    <row r="2" ht="34" customHeight="1">
      <c r="A2" s="2" t="inlineStr">
        <is>
          <t>Full-scope demo of Foundation implementation requirements. Human review determines the final SOW.</t>
        </is>
      </c>
    </row>
    <row r="4" ht="34" customHeight="1">
      <c r="A4" s="7" t="inlineStr">
        <is>
          <t>Workstream</t>
        </is>
      </c>
      <c r="B4" s="7" t="inlineStr">
        <is>
          <t>In Scope?</t>
        </is>
      </c>
      <c r="C4" s="7" t="inlineStr">
        <is>
          <t>Implementation Requirement</t>
        </is>
      </c>
      <c r="D4" s="7" t="inlineStr">
        <is>
          <t>Known Quantity / Level</t>
        </is>
      </c>
      <c r="E4" s="7" t="inlineStr">
        <is>
          <t>Open Scoping Question</t>
        </is>
      </c>
      <c r="F4" s="7" t="inlineStr">
        <is>
          <t>Client Responsibility</t>
        </is>
      </c>
      <c r="G4" s="7" t="inlineStr">
        <is>
          <t>SimpliCreative Responsibility</t>
        </is>
      </c>
      <c r="H4" s="7" t="inlineStr">
        <is>
          <t>Status</t>
        </is>
      </c>
      <c r="I4" s="7" t="inlineStr">
        <is>
          <t>Strategic Impact if Changed</t>
        </is>
      </c>
    </row>
    <row r="5">
      <c r="A5" s="8" t="inlineStr">
        <is>
          <t>Messaging &amp; Editorial</t>
        </is>
      </c>
      <c r="B5" s="13" t="inlineStr">
        <is>
          <t>Yes</t>
        </is>
      </c>
      <c r="C5" s="8" t="inlineStr">
        <is>
          <t>Website Messaging &amp; Content Blueprint, Brand Voice &amp; Editorial Guide, claim/evidence controls, page-level messaging.</t>
        </is>
      </c>
      <c r="D5" s="8" t="inlineStr">
        <is>
          <t>Meaningful development</t>
        </is>
      </c>
      <c r="E5" s="8" t="inlineStr">
        <is>
          <t>What existing messaging assets are already approved?</t>
        </is>
      </c>
      <c r="F5" s="8" t="inlineStr">
        <is>
          <t>Provide current materials, proof, approvals.</t>
        </is>
      </c>
      <c r="G5" s="8" t="inlineStr">
        <is>
          <t>Lead development, synthesis, drafting, review.</t>
        </is>
      </c>
      <c r="H5" s="14" t="inlineStr">
        <is>
          <t>DEMO ASSUMPTION</t>
        </is>
      </c>
      <c r="I5" s="8" t="inlineStr">
        <is>
          <t>High</t>
        </is>
      </c>
    </row>
    <row r="6">
      <c r="A6" s="8" t="inlineStr">
        <is>
          <t>Information Architecture</t>
        </is>
      </c>
      <c r="B6" s="13" t="inlineStr">
        <is>
          <t>Yes</t>
        </is>
      </c>
      <c r="C6" s="8" t="inlineStr">
        <is>
          <t>Integrated site architecture, navigation, buyer intent, URLs, redirects, metadata/schema.</t>
        </is>
      </c>
      <c r="D6" s="8" t="inlineStr">
        <is>
          <t>Multiple journeys/templates</t>
        </is>
      </c>
      <c r="E6" s="8" t="inlineStr">
        <is>
          <t>Final page inventory and retirement/migration count?</t>
        </is>
      </c>
      <c r="F6" s="8" t="inlineStr">
        <is>
          <t>Approve architecture and URL changes.</t>
        </is>
      </c>
      <c r="G6" s="8" t="inlineStr">
        <is>
          <t>Lead architecture and integrated workbook.</t>
        </is>
      </c>
      <c r="H6" s="14" t="inlineStr">
        <is>
          <t>DEMO ASSUMPTION</t>
        </is>
      </c>
      <c r="I6" s="8" t="inlineStr">
        <is>
          <t>High</t>
        </is>
      </c>
    </row>
    <row r="7">
      <c r="A7" s="8" t="inlineStr">
        <is>
          <t>Website Content</t>
        </is>
      </c>
      <c r="B7" s="13" t="inlineStr">
        <is>
          <t>Yes</t>
        </is>
      </c>
      <c r="C7" s="8" t="inlineStr">
        <is>
          <t>Page briefs, production copy, proof placement, CTA logic, editorial review.</t>
        </is>
      </c>
      <c r="D7" s="8" t="inlineStr">
        <is>
          <t>Significant work</t>
        </is>
      </c>
      <c r="E7" s="8" t="inlineStr">
        <is>
          <t>Final page/template count and content reuse?</t>
        </is>
      </c>
      <c r="F7" s="8" t="inlineStr">
        <is>
          <t>Provide SME access, proof, timely approvals.</t>
        </is>
      </c>
      <c r="G7" s="8" t="inlineStr">
        <is>
          <t>Draft/edit approved website content.</t>
        </is>
      </c>
      <c r="H7" s="15" t="inlineStr">
        <is>
          <t>OPEN</t>
        </is>
      </c>
      <c r="I7" s="8" t="inlineStr">
        <is>
          <t>High</t>
        </is>
      </c>
    </row>
    <row r="8">
      <c r="A8" s="8" t="inlineStr">
        <is>
          <t>UX / Conversion</t>
        </is>
      </c>
      <c r="B8" s="13" t="inlineStr">
        <is>
          <t>Yes</t>
        </is>
      </c>
      <c r="C8" s="8" t="inlineStr">
        <is>
          <t>Corporate-first routing, individual path, CTA hierarchy, forms, qualification logic.</t>
        </is>
      </c>
      <c r="D8" s="8" t="inlineStr">
        <is>
          <t>Multiple paths</t>
        </is>
      </c>
      <c r="E8" s="8" t="inlineStr">
        <is>
          <t>Exact lower-friction conversion tools?</t>
        </is>
      </c>
      <c r="F8" s="8" t="inlineStr">
        <is>
          <t>Validate sales/CRM requirements.</t>
        </is>
      </c>
      <c r="G8" s="8" t="inlineStr">
        <is>
          <t>Lead UX/conversion requirements.</t>
        </is>
      </c>
      <c r="H8" s="15" t="inlineStr">
        <is>
          <t>OPEN</t>
        </is>
      </c>
      <c r="I8" s="8" t="inlineStr">
        <is>
          <t>High</t>
        </is>
      </c>
    </row>
    <row r="9">
      <c r="A9" s="8" t="inlineStr">
        <is>
          <t>Custom Visual Design</t>
        </is>
      </c>
      <c r="B9" s="13" t="inlineStr">
        <is>
          <t>Yes</t>
        </is>
      </c>
      <c r="C9" s="8" t="inlineStr">
        <is>
          <t>Custom homepage, core templates, reusable components, responsive experience.</t>
        </is>
      </c>
      <c r="D9" s="8" t="inlineStr">
        <is>
          <t>Larger/custom</t>
        </is>
      </c>
      <c r="E9" s="8" t="inlineStr">
        <is>
          <t>How many unique core templates/components?</t>
        </is>
      </c>
      <c r="F9" s="8" t="inlineStr">
        <is>
          <t>Approve design direction.</t>
        </is>
      </c>
      <c r="G9" s="8" t="inlineStr">
        <is>
          <t>Lead design system and page/template design.</t>
        </is>
      </c>
      <c r="H9" s="15" t="inlineStr">
        <is>
          <t>OPEN</t>
        </is>
      </c>
      <c r="I9" s="8" t="inlineStr">
        <is>
          <t>Medium</t>
        </is>
      </c>
    </row>
    <row r="10">
      <c r="A10" s="8" t="inlineStr">
        <is>
          <t>WordPress Development</t>
        </is>
      </c>
      <c r="B10" s="13" t="inlineStr">
        <is>
          <t>Yes</t>
        </is>
      </c>
      <c r="C10" s="8" t="inlineStr">
        <is>
          <t>Custom WP implementation, reusable component system, marketer-safe controls.</t>
        </is>
      </c>
      <c r="D10" s="8" t="inlineStr">
        <is>
          <t>Advanced custom</t>
        </is>
      </c>
      <c r="E10" s="8" t="inlineStr">
        <is>
          <t>Hosting/technical constraints?</t>
        </is>
      </c>
      <c r="F10" s="8" t="inlineStr">
        <is>
          <t>Provide access and technical requirements.</t>
        </is>
      </c>
      <c r="G10" s="8" t="inlineStr">
        <is>
          <t>Build/configure approved implementation.</t>
        </is>
      </c>
      <c r="H10" s="15" t="inlineStr">
        <is>
          <t>OPEN</t>
        </is>
      </c>
      <c r="I10" s="8" t="inlineStr">
        <is>
          <t>Medium</t>
        </is>
      </c>
    </row>
    <row r="11">
      <c r="A11" s="8" t="inlineStr">
        <is>
          <t>Forms &amp; CRM</t>
        </is>
      </c>
      <c r="B11" s="13" t="inlineStr">
        <is>
          <t>Yes</t>
        </is>
      </c>
      <c r="C11" s="8" t="inlineStr">
        <is>
          <t>Consultation/qualification forms, source context, routing, CRM integration.</t>
        </is>
      </c>
      <c r="D11" s="8" t="inlineStr">
        <is>
          <t>Multiple workflows</t>
        </is>
      </c>
      <c r="E11" s="8" t="inlineStr">
        <is>
          <t>Exact fields, lifecycle stages, routing rules?</t>
        </is>
      </c>
      <c r="F11" s="8" t="inlineStr">
        <is>
          <t>Provide HubSpot/process ownership.</t>
        </is>
      </c>
      <c r="G11" s="8" t="inlineStr">
        <is>
          <t>Implement approved forms/integration.</t>
        </is>
      </c>
      <c r="H11" s="15" t="inlineStr">
        <is>
          <t>OPEN</t>
        </is>
      </c>
      <c r="I11" s="8" t="inlineStr">
        <is>
          <t>High</t>
        </is>
      </c>
    </row>
    <row r="12">
      <c r="A12" s="8" t="inlineStr">
        <is>
          <t>Analytics &amp; Measurement</t>
        </is>
      </c>
      <c r="B12" s="13" t="inlineStr">
        <is>
          <t>Yes</t>
        </is>
      </c>
      <c r="C12" s="8" t="inlineStr">
        <is>
          <t>GA4/GTM, custom events/funnels, conversion tracking, baseline/reporting setup.</t>
        </is>
      </c>
      <c r="D12" s="8" t="inlineStr">
        <is>
          <t>Custom events/funnels</t>
        </is>
      </c>
      <c r="E12" s="8" t="inlineStr">
        <is>
          <t>Current property/container health and event taxonomy?</t>
        </is>
      </c>
      <c r="F12" s="8" t="inlineStr">
        <is>
          <t>Provide access and reporting needs.</t>
        </is>
      </c>
      <c r="G12" s="8" t="inlineStr">
        <is>
          <t>Implement/validate measurement.</t>
        </is>
      </c>
      <c r="H12" s="15" t="inlineStr">
        <is>
          <t>OPEN</t>
        </is>
      </c>
      <c r="I12" s="8" t="inlineStr">
        <is>
          <t>High</t>
        </is>
      </c>
    </row>
    <row r="13">
      <c r="A13" s="8" t="inlineStr">
        <is>
          <t>SEO</t>
        </is>
      </c>
      <c r="B13" s="13" t="inlineStr">
        <is>
          <t>Yes</t>
        </is>
      </c>
      <c r="C13" s="8" t="inlineStr">
        <is>
          <t>Metadata, internal linking, on-page SEO, crawl/indexing, migration protection.</t>
        </is>
      </c>
      <c r="D13" s="8" t="inlineStr">
        <is>
          <t>Significant</t>
        </is>
      </c>
      <c r="E13" s="8" t="inlineStr">
        <is>
          <t>Current ranking/URL equity priorities?</t>
        </is>
      </c>
      <c r="F13" s="8" t="inlineStr">
        <is>
          <t>Provide Search Console/access.</t>
        </is>
      </c>
      <c r="G13" s="8" t="inlineStr">
        <is>
          <t>Implement approved SEO architecture.</t>
        </is>
      </c>
      <c r="H13" s="15" t="inlineStr">
        <is>
          <t>OPEN</t>
        </is>
      </c>
      <c r="I13" s="8" t="inlineStr">
        <is>
          <t>Medium</t>
        </is>
      </c>
    </row>
    <row r="14">
      <c r="A14" s="8" t="inlineStr">
        <is>
          <t>AEO / GEO</t>
        </is>
      </c>
      <c r="B14" s="13" t="inlineStr">
        <is>
          <t>Yes</t>
        </is>
      </c>
      <c r="C14" s="8" t="inlineStr">
        <is>
          <t>Entity clarity, answer-focused content, authority cues, structured content.</t>
        </is>
      </c>
      <c r="D14" s="8" t="inlineStr">
        <is>
          <t>Significant</t>
        </is>
      </c>
      <c r="E14" s="8" t="inlineStr">
        <is>
          <t>Priority AI/recommendation research themes?</t>
        </is>
      </c>
      <c r="F14" s="8" t="inlineStr">
        <is>
          <t>Provide SME/proof context.</t>
        </is>
      </c>
      <c r="G14" s="8" t="inlineStr">
        <is>
          <t>Implement approved AEO/GEO requirements.</t>
        </is>
      </c>
      <c r="H14" s="15" t="inlineStr">
        <is>
          <t>OPEN</t>
        </is>
      </c>
      <c r="I14" s="8" t="inlineStr">
        <is>
          <t>Medium</t>
        </is>
      </c>
    </row>
    <row r="15">
      <c r="A15" s="8" t="inlineStr">
        <is>
          <t>Schema</t>
        </is>
      </c>
      <c r="B15" s="13" t="inlineStr">
        <is>
          <t>Yes</t>
        </is>
      </c>
      <c r="C15" s="8" t="inlineStr">
        <is>
          <t>Page-specific schema where actual content supports it.</t>
        </is>
      </c>
      <c r="D15" s="8" t="inlineStr">
        <is>
          <t>Multiple types</t>
        </is>
      </c>
      <c r="E15" s="8" t="inlineStr">
        <is>
          <t>Final page eligibility?</t>
        </is>
      </c>
      <c r="F15" s="8" t="inlineStr">
        <is>
          <t>Provide accurate factual/entity data.</t>
        </is>
      </c>
      <c r="G15" s="8" t="inlineStr">
        <is>
          <t>Implement valid structured data.</t>
        </is>
      </c>
      <c r="H15" s="15" t="inlineStr">
        <is>
          <t>OPEN</t>
        </is>
      </c>
      <c r="I15" s="8" t="inlineStr">
        <is>
          <t>Low</t>
        </is>
      </c>
    </row>
    <row r="16">
      <c r="A16" s="8" t="inlineStr">
        <is>
          <t>Accessibility</t>
        </is>
      </c>
      <c r="B16" s="13" t="inlineStr">
        <is>
          <t>Yes</t>
        </is>
      </c>
      <c r="C16" s="8" t="inlineStr">
        <is>
          <t>Accessibility review + standard remediation + human validation.</t>
        </is>
      </c>
      <c r="D16" s="8" t="inlineStr">
        <is>
          <t>Meaningful remediation</t>
        </is>
      </c>
      <c r="E16" s="8" t="inlineStr">
        <is>
          <t>Any client/regulatory standard above project baseline?</t>
        </is>
      </c>
      <c r="F16" s="8" t="inlineStr">
        <is>
          <t>Provide known requirements.</t>
        </is>
      </c>
      <c r="G16" s="8" t="inlineStr">
        <is>
          <t>Review/remediate within approved scope.</t>
        </is>
      </c>
      <c r="H16" s="15" t="inlineStr">
        <is>
          <t>OPEN</t>
        </is>
      </c>
      <c r="I16" s="8" t="inlineStr">
        <is>
          <t>Medium</t>
        </is>
      </c>
    </row>
    <row r="17">
      <c r="A17" s="8" t="inlineStr">
        <is>
          <t>Content Migration</t>
        </is>
      </c>
      <c r="B17" s="13" t="inlineStr">
        <is>
          <t>Yes</t>
        </is>
      </c>
      <c r="C17" s="8" t="inlineStr">
        <is>
          <t>Approved migration, cleanup, mapping, and redirects.</t>
        </is>
      </c>
      <c r="D17" s="8" t="inlineStr">
        <is>
          <t>Extensive</t>
        </is>
      </c>
      <c r="E17" s="8" t="inlineStr">
        <is>
          <t>Exact page/file count?</t>
        </is>
      </c>
      <c r="F17" s="8" t="inlineStr">
        <is>
          <t>Identify content to retain/archive.</t>
        </is>
      </c>
      <c r="G17" s="8" t="inlineStr">
        <is>
          <t>Plan and perform approved migration.</t>
        </is>
      </c>
      <c r="H17" s="15" t="inlineStr">
        <is>
          <t>OPEN</t>
        </is>
      </c>
      <c r="I17" s="8" t="inlineStr">
        <is>
          <t>Medium</t>
        </is>
      </c>
    </row>
    <row r="18">
      <c r="A18" s="8" t="inlineStr">
        <is>
          <t>Integrations</t>
        </is>
      </c>
      <c r="B18" s="13" t="inlineStr">
        <is>
          <t>Yes</t>
        </is>
      </c>
      <c r="C18" s="8" t="inlineStr">
        <is>
          <t>Approved third-party integrations required by experience.</t>
        </is>
      </c>
      <c r="D18" s="8" t="inlineStr">
        <is>
          <t>Several</t>
        </is>
      </c>
      <c r="E18" s="8" t="inlineStr">
        <is>
          <t>Any custom API/ERP beyond standard tools?</t>
        </is>
      </c>
      <c r="F18" s="8" t="inlineStr">
        <is>
          <t>Provide credentials/owners.</t>
        </is>
      </c>
      <c r="G18" s="8" t="inlineStr">
        <is>
          <t>Implement approved integrations.</t>
        </is>
      </c>
      <c r="H18" s="15" t="inlineStr">
        <is>
          <t>OPEN</t>
        </is>
      </c>
      <c r="I18" s="8" t="inlineStr">
        <is>
          <t>High</t>
        </is>
      </c>
    </row>
    <row r="19">
      <c r="A19" s="8" t="inlineStr">
        <is>
          <t>Technical Performance</t>
        </is>
      </c>
      <c r="B19" s="13" t="inlineStr">
        <is>
          <t>Yes</t>
        </is>
      </c>
      <c r="C19" s="8" t="inlineStr">
        <is>
          <t>Asset/script/performance/maintainability production controls.</t>
        </is>
      </c>
      <c r="D19" s="8" t="inlineStr">
        <is>
          <t>Custom site</t>
        </is>
      </c>
      <c r="E19" s="8" t="inlineStr">
        <is>
          <t>Hosting and third-party constraints?</t>
        </is>
      </c>
      <c r="F19" s="8" t="inlineStr">
        <is>
          <t>Approve hosting/access decisions.</t>
        </is>
      </c>
      <c r="G19" s="8" t="inlineStr">
        <is>
          <t>Optimize within implementation.</t>
        </is>
      </c>
      <c r="H19" s="15" t="inlineStr">
        <is>
          <t>OPEN</t>
        </is>
      </c>
      <c r="I19" s="8" t="inlineStr">
        <is>
          <t>Medium</t>
        </is>
      </c>
    </row>
    <row r="20">
      <c r="A20" s="8" t="inlineStr">
        <is>
          <t>QA / Launch</t>
        </is>
      </c>
      <c r="B20" s="13" t="inlineStr">
        <is>
          <t>Yes</t>
        </is>
      </c>
      <c r="C20" s="8" t="inlineStr">
        <is>
          <t>Strategic Fidelity QA, Technical QA, launch, live validation, handoff.</t>
        </is>
      </c>
      <c r="D20" s="8" t="inlineStr">
        <is>
          <t>Full</t>
        </is>
      </c>
      <c r="E20" s="8" t="inlineStr">
        <is>
          <t>Approved browser/device/QA scope?</t>
        </is>
      </c>
      <c r="F20" s="8" t="inlineStr">
        <is>
          <t>Participate in final approvals.</t>
        </is>
      </c>
      <c r="G20" s="8" t="inlineStr">
        <is>
          <t>Lead QA/launch documentation.</t>
        </is>
      </c>
      <c r="H20" s="15" t="inlineStr">
        <is>
          <t>OPEN</t>
        </is>
      </c>
      <c r="I20" s="8" t="inlineStr">
        <is>
          <t>Medium</t>
        </is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34" customWidth="1" min="4" max="4"/>
    <col width="40" customWidth="1" min="5" max="5"/>
    <col width="18" customWidth="1" min="6" max="6"/>
    <col width="20" customWidth="1" min="7" max="7"/>
  </cols>
  <sheetData>
    <row r="1" ht="28" customHeight="1">
      <c r="A1" s="1" t="inlineStr">
        <is>
          <t>Responsibility Map</t>
        </is>
      </c>
    </row>
    <row r="2" ht="34" customHeight="1">
      <c r="A2" s="2" t="inlineStr">
        <is>
          <t>Clarifies client, SimpliCreative, and partner ownership before scope and price are approved.</t>
        </is>
      </c>
    </row>
    <row r="4" ht="34" customHeight="1">
      <c r="A4" s="7" t="inlineStr">
        <is>
          <t>Area</t>
        </is>
      </c>
      <c r="B4" s="7" t="inlineStr">
        <is>
          <t>SimpliCreative</t>
        </is>
      </c>
      <c r="C4" s="7" t="inlineStr">
        <is>
          <t>Northstar</t>
        </is>
      </c>
      <c r="D4" s="7" t="inlineStr">
        <is>
          <t>Existing / Other Partner</t>
        </is>
      </c>
      <c r="E4" s="7" t="inlineStr">
        <is>
          <t>Decision Needed</t>
        </is>
      </c>
      <c r="F4" s="7" t="inlineStr">
        <is>
          <t>Status</t>
        </is>
      </c>
      <c r="G4" s="7" t="inlineStr">
        <is>
          <t>Commercial Impact</t>
        </is>
      </c>
    </row>
    <row r="5">
      <c r="A5" s="8" t="inlineStr">
        <is>
          <t>Strategy</t>
        </is>
      </c>
      <c r="B5" s="8" t="inlineStr">
        <is>
          <t>Implement approved strategy; escalate material strategic gaps.</t>
        </is>
      </c>
      <c r="C5" s="8" t="inlineStr">
        <is>
          <t>Approve material changes.</t>
        </is>
      </c>
      <c r="D5" s="8" t="inlineStr">
        <is>
          <t>None assumed.</t>
        </is>
      </c>
      <c r="E5" s="8" t="inlineStr">
        <is>
          <t>Confirm strategic approver.</t>
        </is>
      </c>
      <c r="F5" s="15" t="inlineStr">
        <is>
          <t>OPEN</t>
        </is>
      </c>
      <c r="G5" s="8" t="inlineStr">
        <is>
          <t>High</t>
        </is>
      </c>
    </row>
    <row r="6">
      <c r="A6" s="8" t="inlineStr">
        <is>
          <t>Content</t>
        </is>
      </c>
      <c r="B6" s="8" t="inlineStr">
        <is>
          <t>Draft/edit agreed website copy and page requirements.</t>
        </is>
      </c>
      <c r="C6" s="8" t="inlineStr">
        <is>
          <t>Provide proof, SMEs, factual review, approvals.</t>
        </is>
      </c>
      <c r="D6" s="8" t="inlineStr">
        <is>
          <t>Potential internal content owner.</t>
        </is>
      </c>
      <c r="E6" s="8" t="inlineStr">
        <is>
          <t>Confirm page/content ownership split.</t>
        </is>
      </c>
      <c r="F6" s="15" t="inlineStr">
        <is>
          <t>OPEN</t>
        </is>
      </c>
      <c r="G6" s="8" t="inlineStr">
        <is>
          <t>High</t>
        </is>
      </c>
    </row>
    <row r="7">
      <c r="A7" s="8" t="inlineStr">
        <is>
          <t>Design</t>
        </is>
      </c>
      <c r="B7" s="8" t="inlineStr">
        <is>
          <t>Lead approved custom UX/visual design.</t>
        </is>
      </c>
      <c r="C7" s="8" t="inlineStr">
        <is>
          <t>Review/approve.</t>
        </is>
      </c>
      <c r="D7" s="8" t="inlineStr">
        <is>
          <t>None assumed.</t>
        </is>
      </c>
      <c r="E7" s="8" t="inlineStr">
        <is>
          <t>Confirm stakeholder review group.</t>
        </is>
      </c>
      <c r="F7" s="15" t="inlineStr">
        <is>
          <t>OPEN</t>
        </is>
      </c>
      <c r="G7" s="8" t="inlineStr">
        <is>
          <t>Medium</t>
        </is>
      </c>
    </row>
    <row r="8">
      <c r="A8" s="8" t="inlineStr">
        <is>
          <t>Development</t>
        </is>
      </c>
      <c r="B8" s="8" t="inlineStr">
        <is>
          <t>Build/configure approved WordPress experience.</t>
        </is>
      </c>
      <c r="C8" s="8" t="inlineStr">
        <is>
          <t>Provide access / infrastructure decisions.</t>
        </is>
      </c>
      <c r="D8" s="8" t="inlineStr">
        <is>
          <t>Hosting/IT may participate.</t>
        </is>
      </c>
      <c r="E8" s="8" t="inlineStr">
        <is>
          <t>Confirm hosting/IT owner.</t>
        </is>
      </c>
      <c r="F8" s="15" t="inlineStr">
        <is>
          <t>OPEN</t>
        </is>
      </c>
      <c r="G8" s="8" t="inlineStr">
        <is>
          <t>Medium</t>
        </is>
      </c>
    </row>
    <row r="9">
      <c r="A9" s="8" t="inlineStr">
        <is>
          <t>CRM / MarTech</t>
        </is>
      </c>
      <c r="B9" s="8" t="inlineStr">
        <is>
          <t>Implement agreed forms/integrations.</t>
        </is>
      </c>
      <c r="C9" s="8" t="inlineStr">
        <is>
          <t>Own CRM governance and sales process.</t>
        </is>
      </c>
      <c r="D9" s="8" t="inlineStr">
        <is>
          <t>HubSpot admin/partner TBD.</t>
        </is>
      </c>
      <c r="E9" s="8" t="inlineStr">
        <is>
          <t>Confirm technical owner and responsibilities.</t>
        </is>
      </c>
      <c r="F9" s="15" t="inlineStr">
        <is>
          <t>OPEN</t>
        </is>
      </c>
      <c r="G9" s="8" t="inlineStr">
        <is>
          <t>High</t>
        </is>
      </c>
    </row>
    <row r="10">
      <c r="A10" s="8" t="inlineStr">
        <is>
          <t>Analytics</t>
        </is>
      </c>
      <c r="B10" s="8" t="inlineStr">
        <is>
          <t>Implement approved web tracking.</t>
        </is>
      </c>
      <c r="C10" s="8" t="inlineStr">
        <is>
          <t>Own business process/data discipline.</t>
        </is>
      </c>
      <c r="D10" s="8" t="inlineStr">
        <is>
          <t>Existing analytics support TBD.</t>
        </is>
      </c>
      <c r="E10" s="8" t="inlineStr">
        <is>
          <t>Confirm ongoing reporting owner.</t>
        </is>
      </c>
      <c r="F10" s="15" t="inlineStr">
        <is>
          <t>OPEN</t>
        </is>
      </c>
      <c r="G10" s="8" t="inlineStr">
        <is>
          <t>Medium</t>
        </is>
      </c>
    </row>
    <row r="11">
      <c r="A11" s="8" t="inlineStr">
        <is>
          <t>SEO/AEO/GEO</t>
        </is>
      </c>
      <c r="B11" s="8" t="inlineStr">
        <is>
          <t>Implement approved discoverability requirements.</t>
        </is>
      </c>
      <c r="C11" s="8" t="inlineStr">
        <is>
          <t>Provide expertise/proof/content approvals.</t>
        </is>
      </c>
      <c r="D11" s="8" t="inlineStr">
        <is>
          <t>Existing SEO partner TBD.</t>
        </is>
      </c>
      <c r="E11" s="8" t="inlineStr">
        <is>
          <t>Confirm overlap / handoff if partner exists.</t>
        </is>
      </c>
      <c r="F11" s="15" t="inlineStr">
        <is>
          <t>OPEN</t>
        </is>
      </c>
      <c r="G11" s="8" t="inlineStr">
        <is>
          <t>Medium</t>
        </is>
      </c>
    </row>
    <row r="12">
      <c r="A12" s="8" t="inlineStr">
        <is>
          <t>Migration</t>
        </is>
      </c>
      <c r="B12" s="8" t="inlineStr">
        <is>
          <t>Plan/execute approved migration.</t>
        </is>
      </c>
      <c r="C12" s="8" t="inlineStr">
        <is>
          <t>Decide retain/retire/archive and provide content.</t>
        </is>
      </c>
      <c r="D12" s="8" t="inlineStr">
        <is>
          <t>IT/content partner TBD.</t>
        </is>
      </c>
      <c r="E12" s="8" t="inlineStr">
        <is>
          <t>Confirm migration support.</t>
        </is>
      </c>
      <c r="F12" s="15" t="inlineStr">
        <is>
          <t>OPEN</t>
        </is>
      </c>
      <c r="G12" s="8" t="inlineStr">
        <is>
          <t>Medium</t>
        </is>
      </c>
    </row>
    <row r="13">
      <c r="A13" s="8" t="inlineStr">
        <is>
          <t>Launch</t>
        </is>
      </c>
      <c r="B13" s="8" t="inlineStr">
        <is>
          <t>Lead deployment/QA within approved technical scope.</t>
        </is>
      </c>
      <c r="C13" s="8" t="inlineStr">
        <is>
          <t>Authorize launch and approve final state.</t>
        </is>
      </c>
      <c r="D13" s="8" t="inlineStr">
        <is>
          <t>Hosting/IT may assist.</t>
        </is>
      </c>
      <c r="E13" s="8" t="inlineStr">
        <is>
          <t>Confirm launch authority.</t>
        </is>
      </c>
      <c r="F13" s="15" t="inlineStr">
        <is>
          <t>OPEN</t>
        </is>
      </c>
      <c r="G13" s="8" t="inlineStr">
        <is>
          <t>High</t>
        </is>
      </c>
    </row>
  </sheetData>
  <autoFilter ref="A4:G13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4" customWidth="1" min="3" max="3"/>
    <col width="52" customWidth="1" min="4" max="4"/>
    <col width="24" customWidth="1" min="5" max="5"/>
    <col width="48" customWidth="1" min="6" max="6"/>
    <col width="16" customWidth="1" min="7" max="7"/>
    <col width="24" customWidth="1" min="8" max="8"/>
  </cols>
  <sheetData>
    <row r="1" ht="28" customHeight="1">
      <c r="A1" s="1" t="inlineStr">
        <is>
          <t>Dependencies &amp; Risks</t>
        </is>
      </c>
    </row>
    <row r="2" ht="34" customHeight="1">
      <c r="A2" s="2" t="inlineStr">
        <is>
          <t>Material scope, delivery, and pricing dependencies that must be resolved or explicitly accepted.</t>
        </is>
      </c>
    </row>
    <row r="4" ht="34" customHeight="1">
      <c r="A4" s="7" t="inlineStr">
        <is>
          <t>ID</t>
        </is>
      </c>
      <c r="B4" s="7" t="inlineStr">
        <is>
          <t>Dependency / Risk</t>
        </is>
      </c>
      <c r="C4" s="7" t="inlineStr">
        <is>
          <t>Type</t>
        </is>
      </c>
      <c r="D4" s="7" t="inlineStr">
        <is>
          <t>Impact if Unresolved</t>
        </is>
      </c>
      <c r="E4" s="7" t="inlineStr">
        <is>
          <t>Owner</t>
        </is>
      </c>
      <c r="F4" s="7" t="inlineStr">
        <is>
          <t>Required Resolution</t>
        </is>
      </c>
      <c r="G4" s="7" t="inlineStr">
        <is>
          <t>Status</t>
        </is>
      </c>
      <c r="H4" s="7" t="inlineStr">
        <is>
          <t>Pricing / Scope Effect</t>
        </is>
      </c>
    </row>
    <row r="5">
      <c r="A5" s="8" t="inlineStr">
        <is>
          <t>DR-001</t>
        </is>
      </c>
      <c r="B5" s="8" t="inlineStr">
        <is>
          <t>Final page / template inventory</t>
        </is>
      </c>
      <c r="C5" s="8" t="inlineStr">
        <is>
          <t>Scope dependency</t>
        </is>
      </c>
      <c r="D5" s="8" t="inlineStr">
        <is>
          <t>Copy, design, dev, migration, and QA volume remain uncertain.</t>
        </is>
      </c>
      <c r="E5" s="8" t="inlineStr">
        <is>
          <t>Strategist + Client</t>
        </is>
      </c>
      <c r="F5" s="8" t="inlineStr">
        <is>
          <t>Approve architecture scope.</t>
        </is>
      </c>
      <c r="G5" s="15" t="inlineStr">
        <is>
          <t>OPEN</t>
        </is>
      </c>
      <c r="H5" s="8" t="inlineStr">
        <is>
          <t>Potential material</t>
        </is>
      </c>
    </row>
    <row r="6">
      <c r="A6" s="8" t="inlineStr">
        <is>
          <t>DR-002</t>
        </is>
      </c>
      <c r="B6" s="8" t="inlineStr">
        <is>
          <t>Migration volume</t>
        </is>
      </c>
      <c r="C6" s="8" t="inlineStr">
        <is>
          <t>Delivery dependency</t>
        </is>
      </c>
      <c r="D6" s="8" t="inlineStr">
        <is>
          <t>Content migration effort cannot be estimated reliably.</t>
        </is>
      </c>
      <c r="E6" s="8" t="inlineStr">
        <is>
          <t>Client + Project Lead</t>
        </is>
      </c>
      <c r="F6" s="8" t="inlineStr">
        <is>
          <t>Inventory current content/files.</t>
        </is>
      </c>
      <c r="G6" s="15" t="inlineStr">
        <is>
          <t>OPEN</t>
        </is>
      </c>
      <c r="H6" s="8" t="inlineStr">
        <is>
          <t>Potential material</t>
        </is>
      </c>
    </row>
    <row r="7">
      <c r="A7" s="8" t="inlineStr">
        <is>
          <t>DR-003</t>
        </is>
      </c>
      <c r="B7" s="8" t="inlineStr">
        <is>
          <t>HubSpot workflows / lifecycle</t>
        </is>
      </c>
      <c r="C7" s="8" t="inlineStr">
        <is>
          <t>Integration dependency</t>
        </is>
      </c>
      <c r="D7" s="8" t="inlineStr">
        <is>
          <t>CRM scope and measurement complexity remain uncertain.</t>
        </is>
      </c>
      <c r="E7" s="8" t="inlineStr">
        <is>
          <t>Client CRM Owner</t>
        </is>
      </c>
      <c r="F7" s="8" t="inlineStr">
        <is>
          <t>Document current state and target requirements.</t>
        </is>
      </c>
      <c r="G7" s="15" t="inlineStr">
        <is>
          <t>OPEN</t>
        </is>
      </c>
      <c r="H7" s="8" t="inlineStr">
        <is>
          <t>Material</t>
        </is>
      </c>
    </row>
    <row r="8">
      <c r="A8" s="8" t="inlineStr">
        <is>
          <t>DR-004</t>
        </is>
      </c>
      <c r="B8" s="8" t="inlineStr">
        <is>
          <t>Final analytics event taxonomy</t>
        </is>
      </c>
      <c r="C8" s="8" t="inlineStr">
        <is>
          <t>Measurement dependency</t>
        </is>
      </c>
      <c r="D8" s="8" t="inlineStr">
        <is>
          <t>Build and QA effort remain uncertain.</t>
        </is>
      </c>
      <c r="E8" s="8" t="inlineStr">
        <is>
          <t>Measurement Owner</t>
        </is>
      </c>
      <c r="F8" s="8" t="inlineStr">
        <is>
          <t>Approve events/funnels.</t>
        </is>
      </c>
      <c r="G8" s="15" t="inlineStr">
        <is>
          <t>OPEN</t>
        </is>
      </c>
      <c r="H8" s="8" t="inlineStr">
        <is>
          <t>Moderate</t>
        </is>
      </c>
    </row>
    <row r="9">
      <c r="A9" s="8" t="inlineStr">
        <is>
          <t>DR-005</t>
        </is>
      </c>
      <c r="B9" s="8" t="inlineStr">
        <is>
          <t>Proof / claim permissions</t>
        </is>
      </c>
      <c r="C9" s="8" t="inlineStr">
        <is>
          <t>Content dependency</t>
        </is>
      </c>
      <c r="D9" s="8" t="inlineStr">
        <is>
          <t>Copy and proof modules may need rework if evidence is unavailable.</t>
        </is>
      </c>
      <c r="E9" s="8" t="inlineStr">
        <is>
          <t>Client</t>
        </is>
      </c>
      <c r="F9" s="8" t="inlineStr">
        <is>
          <t>Provide approved evidence/permissions.</t>
        </is>
      </c>
      <c r="G9" s="15" t="inlineStr">
        <is>
          <t>OPEN</t>
        </is>
      </c>
      <c r="H9" s="8" t="inlineStr">
        <is>
          <t>Moderate</t>
        </is>
      </c>
    </row>
    <row r="10">
      <c r="A10" s="8" t="inlineStr">
        <is>
          <t>DR-006</t>
        </is>
      </c>
      <c r="B10" s="8" t="inlineStr">
        <is>
          <t>Custom APIs / ERP</t>
        </is>
      </c>
      <c r="C10" s="8" t="inlineStr">
        <is>
          <t>Technical risk</t>
        </is>
      </c>
      <c r="D10" s="8" t="inlineStr">
        <is>
          <t>Could move integrations from standard to complex.</t>
        </is>
      </c>
      <c r="E10" s="8" t="inlineStr">
        <is>
          <t>Client IT</t>
        </is>
      </c>
      <c r="F10" s="8" t="inlineStr">
        <is>
          <t>Confirm whether any custom API/ERP work is required.</t>
        </is>
      </c>
      <c r="G10" s="15" t="inlineStr">
        <is>
          <t>OPEN</t>
        </is>
      </c>
      <c r="H10" s="16" t="inlineStr">
        <is>
          <t>Automatic human review</t>
        </is>
      </c>
    </row>
    <row r="11">
      <c r="A11" s="8" t="inlineStr">
        <is>
          <t>DR-007</t>
        </is>
      </c>
      <c r="B11" s="8" t="inlineStr">
        <is>
          <t>Stakeholder count / governance</t>
        </is>
      </c>
      <c r="C11" s="8" t="inlineStr">
        <is>
          <t>Governance risk</t>
        </is>
      </c>
      <c r="D11" s="8" t="inlineStr">
        <is>
          <t>More than five active stakeholders triggers review.</t>
        </is>
      </c>
      <c r="E11" s="8" t="inlineStr">
        <is>
          <t>Project Lead</t>
        </is>
      </c>
      <c r="F11" s="8" t="inlineStr">
        <is>
          <t>Confirm active approvers/reviewers.</t>
        </is>
      </c>
      <c r="G11" s="15" t="inlineStr">
        <is>
          <t>OPEN</t>
        </is>
      </c>
      <c r="H11" s="8" t="inlineStr">
        <is>
          <t>Potential material</t>
        </is>
      </c>
    </row>
    <row r="12">
      <c r="A12" s="8" t="inlineStr">
        <is>
          <t>DR-008</t>
        </is>
      </c>
      <c r="B12" s="8" t="inlineStr">
        <is>
          <t>Timeline pressure</t>
        </is>
      </c>
      <c r="C12" s="8" t="inlineStr">
        <is>
          <t>Delivery risk</t>
        </is>
      </c>
      <c r="D12" s="8" t="inlineStr">
        <is>
          <t>Compressed schedule can increase delivery cost/risk.</t>
        </is>
      </c>
      <c r="E12" s="8" t="inlineStr">
        <is>
          <t>Client + Project Lead</t>
        </is>
      </c>
      <c r="F12" s="8" t="inlineStr">
        <is>
          <t>Confirm desired launch window.</t>
        </is>
      </c>
      <c r="G12" s="15" t="inlineStr">
        <is>
          <t>OPEN</t>
        </is>
      </c>
      <c r="H12" s="8" t="inlineStr">
        <is>
          <t>Potential material</t>
        </is>
      </c>
    </row>
    <row r="13">
      <c r="A13" s="8" t="inlineStr">
        <is>
          <t>DR-009</t>
        </is>
      </c>
      <c r="B13" s="8" t="inlineStr">
        <is>
          <t>Accessibility requirements</t>
        </is>
      </c>
      <c r="C13" s="8" t="inlineStr">
        <is>
          <t>Compliance / scope risk</t>
        </is>
      </c>
      <c r="D13" s="8" t="inlineStr">
        <is>
          <t>Higher-complexity requirements may expand remediation/testing.</t>
        </is>
      </c>
      <c r="E13" s="8" t="inlineStr">
        <is>
          <t>Client</t>
        </is>
      </c>
      <c r="F13" s="8" t="inlineStr">
        <is>
          <t>Confirm required standard/regulatory context.</t>
        </is>
      </c>
      <c r="G13" s="15" t="inlineStr">
        <is>
          <t>OPEN</t>
        </is>
      </c>
      <c r="H13" s="8" t="inlineStr">
        <is>
          <t>Potential material</t>
        </is>
      </c>
    </row>
  </sheetData>
  <autoFilter ref="A4:H13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30" customWidth="1" min="3" max="3"/>
    <col width="30" customWidth="1" min="4" max="4"/>
    <col width="14" customWidth="1" min="5" max="5"/>
    <col width="54" customWidth="1" min="6" max="6"/>
    <col width="18" customWidth="1" min="7" max="7"/>
  </cols>
  <sheetData>
    <row r="1" ht="28" customHeight="1">
      <c r="A1" s="1" t="inlineStr">
        <is>
          <t>Foundation Complexity Score</t>
        </is>
      </c>
    </row>
    <row r="2" ht="34" customHeight="1">
      <c r="A2" s="2" t="inlineStr">
        <is>
          <t>15-dimension internal score. Demo inputs are illustrative assumptions and require human validation.</t>
        </is>
      </c>
    </row>
    <row r="4" ht="34" customHeight="1">
      <c r="A4" s="7" t="inlineStr">
        <is>
          <t>Dimension</t>
        </is>
      </c>
      <c r="B4" s="7" t="inlineStr">
        <is>
          <t>Simple (1)</t>
        </is>
      </c>
      <c r="C4" s="7" t="inlineStr">
        <is>
          <t>Moderate (2)</t>
        </is>
      </c>
      <c r="D4" s="7" t="inlineStr">
        <is>
          <t>Complex (3)</t>
        </is>
      </c>
      <c r="E4" s="7" t="inlineStr">
        <is>
          <t>Demo Score</t>
        </is>
      </c>
      <c r="F4" s="7" t="inlineStr">
        <is>
          <t>Demo Basis</t>
        </is>
      </c>
      <c r="G4" s="7" t="inlineStr">
        <is>
          <t>Human Review</t>
        </is>
      </c>
    </row>
    <row r="5">
      <c r="A5" s="8" t="inlineStr">
        <is>
          <t>Storytelling &amp; Messaging</t>
        </is>
      </c>
      <c r="B5" s="8" t="inlineStr">
        <is>
          <t>Apply/refine</t>
        </is>
      </c>
      <c r="C5" s="8" t="inlineStr">
        <is>
          <t>Meaningful development</t>
        </is>
      </c>
      <c r="D5" s="8" t="inlineStr">
        <is>
          <t>Major strategic development</t>
        </is>
      </c>
      <c r="E5" s="13" t="n">
        <v>2</v>
      </c>
      <c r="F5" s="8" t="inlineStr">
        <is>
          <t>Meaningful development assumed; strategy already approved.</t>
        </is>
      </c>
      <c r="G5" s="15" t="inlineStr">
        <is>
          <t>REVIEW</t>
        </is>
      </c>
    </row>
    <row r="6">
      <c r="A6" s="8" t="inlineStr">
        <is>
          <t>Information Architecture</t>
        </is>
      </c>
      <c r="B6" s="8" t="inlineStr">
        <is>
          <t>Straightforward</t>
        </is>
      </c>
      <c r="C6" s="8" t="inlineStr">
        <is>
          <t>Multiple journeys/templates</t>
        </is>
      </c>
      <c r="D6" s="8" t="inlineStr">
        <is>
          <t>Complex architecture</t>
        </is>
      </c>
      <c r="E6" s="13" t="n">
        <v>2</v>
      </c>
      <c r="F6" s="8" t="inlineStr">
        <is>
          <t>Corporate + individual paths and multiple templates.</t>
        </is>
      </c>
      <c r="G6" s="15" t="inlineStr">
        <is>
          <t>REVIEW</t>
        </is>
      </c>
    </row>
    <row r="7">
      <c r="A7" s="8" t="inlineStr">
        <is>
          <t>Content</t>
        </is>
      </c>
      <c r="B7" s="8" t="inlineStr">
        <is>
          <t>Mostly ready</t>
        </is>
      </c>
      <c r="C7" s="8" t="inlineStr">
        <is>
          <t>Significant work/migration</t>
        </is>
      </c>
      <c r="D7" s="8" t="inlineStr">
        <is>
          <t>Extensive creation/migration</t>
        </is>
      </c>
      <c r="E7" s="13" t="n">
        <v>3</v>
      </c>
      <c r="F7" s="8" t="inlineStr">
        <is>
          <t>Full-scope demo assumes significant creation + extensive migration.</t>
        </is>
      </c>
      <c r="G7" s="15" t="inlineStr">
        <is>
          <t>REVIEW</t>
        </is>
      </c>
    </row>
    <row r="8">
      <c r="A8" s="8" t="inlineStr">
        <is>
          <t>Design System</t>
        </is>
      </c>
      <c r="B8" s="8" t="inlineStr">
        <is>
          <t>Standard</t>
        </is>
      </c>
      <c r="C8" s="8" t="inlineStr">
        <is>
          <t>Larger/custom</t>
        </is>
      </c>
      <c r="D8" s="8" t="inlineStr">
        <is>
          <t>Advanced/custom</t>
        </is>
      </c>
      <c r="E8" s="13" t="n">
        <v>2</v>
      </c>
      <c r="F8" s="8" t="inlineStr">
        <is>
          <t>Custom design system assumed.</t>
        </is>
      </c>
      <c r="G8" s="15" t="inlineStr">
        <is>
          <t>REVIEW</t>
        </is>
      </c>
    </row>
    <row r="9">
      <c r="A9" s="8" t="inlineStr">
        <is>
          <t>CMS</t>
        </is>
      </c>
      <c r="B9" s="8" t="inlineStr">
        <is>
          <t>Standard</t>
        </is>
      </c>
      <c r="C9" s="8" t="inlineStr">
        <is>
          <t>Complex structures</t>
        </is>
      </c>
      <c r="D9" s="8" t="inlineStr">
        <is>
          <t>Advanced workflows/data</t>
        </is>
      </c>
      <c r="E9" s="13" t="n">
        <v>3</v>
      </c>
      <c r="F9" s="8" t="inlineStr">
        <is>
          <t>Advanced custom component/CMS system assumed.</t>
        </is>
      </c>
      <c r="G9" s="15" t="inlineStr">
        <is>
          <t>REVIEW</t>
        </is>
      </c>
    </row>
    <row r="10">
      <c r="A10" s="8" t="inlineStr">
        <is>
          <t>Conversion</t>
        </is>
      </c>
      <c r="B10" s="8" t="inlineStr">
        <is>
          <t>Straightforward</t>
        </is>
      </c>
      <c r="C10" s="8" t="inlineStr">
        <is>
          <t>Multiple paths</t>
        </is>
      </c>
      <c r="D10" s="8" t="inlineStr">
        <is>
          <t>Complex routing/qualification</t>
        </is>
      </c>
      <c r="E10" s="13" t="n">
        <v>2</v>
      </c>
      <c r="F10" s="8" t="inlineStr">
        <is>
          <t>Corporate + individual + assessment/guarantee paths.</t>
        </is>
      </c>
      <c r="G10" s="15" t="inlineStr">
        <is>
          <t>REVIEW</t>
        </is>
      </c>
    </row>
    <row r="11">
      <c r="A11" s="8" t="inlineStr">
        <is>
          <t>CRM / MarTech</t>
        </is>
      </c>
      <c r="B11" s="8" t="inlineStr">
        <is>
          <t>Standard</t>
        </is>
      </c>
      <c r="C11" s="8" t="inlineStr">
        <is>
          <t>Multiple workflows</t>
        </is>
      </c>
      <c r="D11" s="8" t="inlineStr">
        <is>
          <t>Significant architecture</t>
        </is>
      </c>
      <c r="E11" s="13" t="n">
        <v>3</v>
      </c>
      <c r="F11" s="8" t="inlineStr">
        <is>
          <t>HubSpot workflows and routing are meaningful unknowns.</t>
        </is>
      </c>
      <c r="G11" s="15" t="inlineStr">
        <is>
          <t>REVIEW</t>
        </is>
      </c>
    </row>
    <row r="12">
      <c r="A12" s="8" t="inlineStr">
        <is>
          <t>Analytics</t>
        </is>
      </c>
      <c r="B12" s="8" t="inlineStr">
        <is>
          <t>Standard</t>
        </is>
      </c>
      <c r="C12" s="8" t="inlineStr">
        <is>
          <t>Custom events/funnels</t>
        </is>
      </c>
      <c r="D12" s="8" t="inlineStr">
        <is>
          <t>Cross-system measurement</t>
        </is>
      </c>
      <c r="E12" s="13" t="n">
        <v>3</v>
      </c>
      <c r="F12" s="8" t="inlineStr">
        <is>
          <t>Custom events + CRM opportunity linkage.</t>
        </is>
      </c>
      <c r="G12" s="15" t="inlineStr">
        <is>
          <t>REVIEW</t>
        </is>
      </c>
    </row>
    <row r="13">
      <c r="A13" s="8" t="inlineStr">
        <is>
          <t>SEO/AEO/GEO</t>
        </is>
      </c>
      <c r="B13" s="8" t="inlineStr">
        <is>
          <t>Foundational</t>
        </is>
      </c>
      <c r="C13" s="8" t="inlineStr">
        <is>
          <t>Significant</t>
        </is>
      </c>
      <c r="D13" s="8" t="inlineStr">
        <is>
          <t>Broad/complex</t>
        </is>
      </c>
      <c r="E13" s="13" t="n">
        <v>2</v>
      </c>
      <c r="F13" s="8" t="inlineStr">
        <is>
          <t>Significant implementation across full architecture.</t>
        </is>
      </c>
      <c r="G13" s="15" t="inlineStr">
        <is>
          <t>REVIEW</t>
        </is>
      </c>
    </row>
    <row r="14">
      <c r="A14" s="8" t="inlineStr">
        <is>
          <t>Accessibility</t>
        </is>
      </c>
      <c r="B14" s="8" t="inlineStr">
        <is>
          <t>Standard</t>
        </is>
      </c>
      <c r="C14" s="8" t="inlineStr">
        <is>
          <t>Meaningful remediation</t>
        </is>
      </c>
      <c r="D14" s="8" t="inlineStr">
        <is>
          <t>High-complexity requirements</t>
        </is>
      </c>
      <c r="E14" s="13" t="n">
        <v>2</v>
      </c>
      <c r="F14" s="8" t="inlineStr">
        <is>
          <t>Meaningful remediation assumed; no special regulatory scope yet.</t>
        </is>
      </c>
      <c r="G14" s="15" t="inlineStr">
        <is>
          <t>REVIEW</t>
        </is>
      </c>
    </row>
    <row r="15">
      <c r="A15" s="8" t="inlineStr">
        <is>
          <t>Integrations</t>
        </is>
      </c>
      <c r="B15" s="8" t="inlineStr">
        <is>
          <t>Few/standard</t>
        </is>
      </c>
      <c r="C15" s="8" t="inlineStr">
        <is>
          <t>Several</t>
        </is>
      </c>
      <c r="D15" s="8" t="inlineStr">
        <is>
          <t>API/ERP/custom</t>
        </is>
      </c>
      <c r="E15" s="13" t="n">
        <v>2</v>
      </c>
      <c r="F15" s="8" t="inlineStr">
        <is>
          <t>Several integrations assumed; API/ERP unresolved.</t>
        </is>
      </c>
      <c r="G15" s="15" t="inlineStr">
        <is>
          <t>REVIEW</t>
        </is>
      </c>
    </row>
    <row r="16">
      <c r="A16" s="8" t="inlineStr">
        <is>
          <t>Stakeholders</t>
        </is>
      </c>
      <c r="B16" s="8" t="inlineStr">
        <is>
          <t>1–2</t>
        </is>
      </c>
      <c r="C16" s="8" t="inlineStr">
        <is>
          <t>3–5</t>
        </is>
      </c>
      <c r="D16" s="8" t="inlineStr">
        <is>
          <t>Multiple departments</t>
        </is>
      </c>
      <c r="E16" s="13" t="n">
        <v>2</v>
      </c>
      <c r="F16" s="8" t="inlineStr">
        <is>
          <t>Cross-functional approval group assumed.</t>
        </is>
      </c>
      <c r="G16" s="15" t="inlineStr">
        <is>
          <t>REVIEW</t>
        </is>
      </c>
    </row>
    <row r="17">
      <c r="A17" s="8" t="inlineStr">
        <is>
          <t>Brands / Markets</t>
        </is>
      </c>
      <c r="B17" s="8" t="inlineStr">
        <is>
          <t>One</t>
        </is>
      </c>
      <c r="C17" s="8" t="inlineStr">
        <is>
          <t>Multiple segments</t>
        </is>
      </c>
      <c r="D17" s="8" t="inlineStr">
        <is>
          <t>Multiple brands/regions/languages</t>
        </is>
      </c>
      <c r="E17" s="13" t="n">
        <v>1</v>
      </c>
      <c r="F17" s="8" t="inlineStr">
        <is>
          <t>One organization/market assumed.</t>
        </is>
      </c>
      <c r="G17" s="15" t="inlineStr">
        <is>
          <t>REVIEW</t>
        </is>
      </c>
    </row>
    <row r="18">
      <c r="A18" s="8" t="inlineStr">
        <is>
          <t>Timeline</t>
        </is>
      </c>
      <c r="B18" s="8" t="inlineStr">
        <is>
          <t>Normal</t>
        </is>
      </c>
      <c r="C18" s="8" t="inlineStr">
        <is>
          <t>Some pressure</t>
        </is>
      </c>
      <c r="D18" s="8" t="inlineStr">
        <is>
          <t>Materially compressed</t>
        </is>
      </c>
      <c r="E18" s="13" t="n">
        <v>1</v>
      </c>
      <c r="F18" s="8" t="inlineStr">
        <is>
          <t>Normal timeline assumed until client confirms otherwise.</t>
        </is>
      </c>
      <c r="G18" s="15" t="inlineStr">
        <is>
          <t>REVIEW</t>
        </is>
      </c>
    </row>
    <row r="19">
      <c r="A19" s="8" t="inlineStr">
        <is>
          <t>Partner Coordination</t>
        </is>
      </c>
      <c r="B19" s="8" t="inlineStr">
        <is>
          <t>Minimal</t>
        </is>
      </c>
      <c r="C19" s="8" t="inlineStr">
        <is>
          <t>1–2 partners</t>
        </is>
      </c>
      <c r="D19" s="8" t="inlineStr">
        <is>
          <t>Multiple partners</t>
        </is>
      </c>
      <c r="E19" s="13" t="n">
        <v>2</v>
      </c>
      <c r="F19" s="8" t="inlineStr">
        <is>
          <t>Potential hosting/IT/CRM/SEO coordination.</t>
        </is>
      </c>
      <c r="G19" s="15" t="inlineStr">
        <is>
          <t>REVIEW</t>
        </is>
      </c>
    </row>
    <row r="20">
      <c r="A20" s="17" t="inlineStr">
        <is>
          <t>TOTAL COMPLEXITY SCORE</t>
        </is>
      </c>
      <c r="B20" s="18" t="n"/>
      <c r="C20" s="18" t="n"/>
      <c r="D20" s="18" t="n"/>
      <c r="E20" s="19">
        <f>SUM(E5:E19)</f>
        <v/>
      </c>
      <c r="F20" s="18" t="n"/>
      <c r="G20" s="18" t="n"/>
    </row>
    <row r="21">
      <c r="A21" s="20" t="inlineStr">
        <is>
          <t>CLASSIFICATION</t>
        </is>
      </c>
      <c r="E21" s="21">
        <f>IF(E20&lt;=21,"Core",IF(E20&lt;=30,"Standard",IF(E20&lt;=38,"Growth","Complex")))</f>
        <v/>
      </c>
    </row>
    <row r="22">
      <c r="A22" s="20" t="inlineStr">
        <is>
          <t>INTERNAL PRICING BAND</t>
        </is>
      </c>
      <c r="E22" s="21">
        <f>IF(E20&lt;=21,"$35K–$45K",IF(E20&lt;=30,"$45K–$65K",IF(E20&lt;=38,"$65K–$85K","$85K–$100K+")))</f>
        <v/>
      </c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0" customWidth="1" min="4" max="4"/>
    <col width="26" customWidth="1" min="5" max="5"/>
    <col width="46" customWidth="1" min="6" max="6"/>
    <col width="16" customWidth="1" min="7" max="7"/>
  </cols>
  <sheetData>
    <row r="1" ht="28" customHeight="1">
      <c r="A1" s="1" t="inlineStr">
        <is>
          <t>Deliverable Reference-Value Validation</t>
        </is>
      </c>
    </row>
    <row r="2" ht="34" customHeight="1">
      <c r="A2" s="2" t="inlineStr">
        <is>
          <t>Internal validation only. Reference values do not make Foundation an à la carte menu and do not appear in client proposals.</t>
        </is>
      </c>
    </row>
    <row r="4" ht="34" customHeight="1">
      <c r="A4" s="7" t="inlineStr">
        <is>
          <t>Deliverable / Workstream</t>
        </is>
      </c>
      <c r="B4" s="7" t="inlineStr">
        <is>
          <t>Included?</t>
        </is>
      </c>
      <c r="C4" s="7" t="inlineStr">
        <is>
          <t>Internal Reference Value</t>
        </is>
      </c>
      <c r="D4" s="7" t="inlineStr">
        <is>
          <t>Qty</t>
        </is>
      </c>
      <c r="E4" s="7" t="inlineStr">
        <is>
          <t>Extended Reference Value</t>
        </is>
      </c>
      <c r="F4" s="7" t="inlineStr">
        <is>
          <t>Notes</t>
        </is>
      </c>
      <c r="G4" s="7" t="inlineStr">
        <is>
          <t>Review</t>
        </is>
      </c>
    </row>
    <row r="5">
      <c r="A5" s="8" t="inlineStr">
        <is>
          <t>Storytelling &amp; Messaging Architecture</t>
        </is>
      </c>
      <c r="B5" s="13" t="inlineStr">
        <is>
          <t>Yes</t>
        </is>
      </c>
      <c r="C5" s="22" t="n">
        <v>7500</v>
      </c>
      <c r="D5" s="13" t="n">
        <v>1</v>
      </c>
      <c r="E5" s="23">
        <f>IF(B5="Yes",C5*D5,0)</f>
        <v/>
      </c>
      <c r="F5" s="8" t="inlineStr">
        <is>
          <t>Bundled / custom</t>
        </is>
      </c>
      <c r="G5" s="15" t="inlineStr">
        <is>
          <t>REVIEW</t>
        </is>
      </c>
    </row>
    <row r="6">
      <c r="A6" s="8" t="inlineStr">
        <is>
          <t>Positioning / UVP refinement</t>
        </is>
      </c>
      <c r="B6" s="13" t="inlineStr">
        <is>
          <t>No</t>
        </is>
      </c>
      <c r="C6" s="22" t="n">
        <v>5000</v>
      </c>
      <c r="D6" s="13" t="n">
        <v>0</v>
      </c>
      <c r="E6" s="23">
        <f>IF(B6="Yes",C6*D6,0)</f>
        <v/>
      </c>
      <c r="F6" s="8" t="inlineStr">
        <is>
          <t>Not assumed necessary after approved Blueprint.</t>
        </is>
      </c>
      <c r="G6" s="15" t="inlineStr">
        <is>
          <t>REVIEW</t>
        </is>
      </c>
    </row>
    <row r="7">
      <c r="A7" s="8" t="inlineStr">
        <is>
          <t>Website Strategy + IA</t>
        </is>
      </c>
      <c r="B7" s="13" t="inlineStr">
        <is>
          <t>Yes</t>
        </is>
      </c>
      <c r="C7" s="22" t="n">
        <v>5000</v>
      </c>
      <c r="D7" s="13" t="n">
        <v>1</v>
      </c>
      <c r="E7" s="23">
        <f>IF(B7="Yes",C7*D7,0)</f>
        <v/>
      </c>
      <c r="F7" s="8" t="inlineStr">
        <is>
          <t>Integrated architecture included.</t>
        </is>
      </c>
      <c r="G7" s="15" t="inlineStr">
        <is>
          <t>REVIEW</t>
        </is>
      </c>
    </row>
    <row r="8">
      <c r="A8" s="8" t="inlineStr">
        <is>
          <t>Buyer Journey / Conversion Architecture</t>
        </is>
      </c>
      <c r="B8" s="13" t="inlineStr">
        <is>
          <t>Yes</t>
        </is>
      </c>
      <c r="C8" s="22" t="n">
        <v>4000</v>
      </c>
      <c r="D8" s="13" t="n">
        <v>1</v>
      </c>
      <c r="E8" s="23">
        <f>IF(B8="Yes",C8*D8,0)</f>
        <v/>
      </c>
      <c r="F8" s="8" t="inlineStr">
        <is>
          <t>Multiple buyer paths.</t>
        </is>
      </c>
      <c r="G8" s="15" t="inlineStr">
        <is>
          <t>REVIEW</t>
        </is>
      </c>
    </row>
    <row r="9">
      <c r="A9" s="8" t="inlineStr">
        <is>
          <t>AEO / AI Recommendation Strategy</t>
        </is>
      </c>
      <c r="B9" s="13" t="inlineStr">
        <is>
          <t>Yes</t>
        </is>
      </c>
      <c r="C9" s="22" t="n">
        <v>4000</v>
      </c>
      <c r="D9" s="13" t="n">
        <v>1</v>
      </c>
      <c r="E9" s="23">
        <f>IF(B9="Yes",C9*D9,0)</f>
        <v/>
      </c>
      <c r="F9" s="8" t="inlineStr">
        <is>
          <t>Foundation implementation context.</t>
        </is>
      </c>
      <c r="G9" s="15" t="inlineStr">
        <is>
          <t>REVIEW</t>
        </is>
      </c>
    </row>
    <row r="10">
      <c r="A10" s="8" t="inlineStr">
        <is>
          <t>SEO / Discoverability Architecture</t>
        </is>
      </c>
      <c r="B10" s="13" t="inlineStr">
        <is>
          <t>Yes</t>
        </is>
      </c>
      <c r="C10" s="22" t="n">
        <v>4000</v>
      </c>
      <c r="D10" s="13" t="n">
        <v>1</v>
      </c>
      <c r="E10" s="23">
        <f>IF(B10="Yes",C10*D10,0)</f>
        <v/>
      </c>
      <c r="F10" s="8" t="inlineStr">
        <is>
          <t>Foundation implementation context.</t>
        </is>
      </c>
      <c r="G10" s="15" t="inlineStr">
        <is>
          <t>REVIEW</t>
        </is>
      </c>
    </row>
    <row r="11">
      <c r="A11" s="8" t="inlineStr">
        <is>
          <t>Measurement Architecture</t>
        </is>
      </c>
      <c r="B11" s="13" t="inlineStr">
        <is>
          <t>Yes</t>
        </is>
      </c>
      <c r="C11" s="22" t="n">
        <v>3500</v>
      </c>
      <c r="D11" s="13" t="n">
        <v>1</v>
      </c>
      <c r="E11" s="23">
        <f>IF(B11="Yes",C11*D11,0)</f>
        <v/>
      </c>
      <c r="F11" s="8" t="inlineStr">
        <is>
          <t>Measurement / CRM design.</t>
        </is>
      </c>
      <c r="G11" s="15" t="inlineStr">
        <is>
          <t>REVIEW</t>
        </is>
      </c>
    </row>
    <row r="12">
      <c r="A12" s="8" t="inlineStr">
        <is>
          <t>Custom Homepage UX + Design</t>
        </is>
      </c>
      <c r="B12" s="13" t="inlineStr">
        <is>
          <t>Yes</t>
        </is>
      </c>
      <c r="C12" s="22" t="n">
        <v>6000</v>
      </c>
      <c r="D12" s="13" t="n">
        <v>1</v>
      </c>
      <c r="E12" s="23">
        <f>IF(B12="Yes",C12*D12,0)</f>
        <v/>
      </c>
      <c r="F12" s="8" t="inlineStr">
        <is>
          <t>Custom homepage.</t>
        </is>
      </c>
      <c r="G12" s="15" t="inlineStr">
        <is>
          <t>REVIEW</t>
        </is>
      </c>
    </row>
    <row r="13">
      <c r="A13" s="8" t="inlineStr">
        <is>
          <t>Custom Core Page Template</t>
        </is>
      </c>
      <c r="B13" s="13" t="inlineStr">
        <is>
          <t>Yes</t>
        </is>
      </c>
      <c r="C13" s="22" t="n">
        <v>2500</v>
      </c>
      <c r="D13" s="13" t="n">
        <v>4</v>
      </c>
      <c r="E13" s="23">
        <f>IF(B13="Yes",C13*D13,0)</f>
        <v/>
      </c>
      <c r="F13" s="8" t="inlineStr">
        <is>
          <t>Illustrative quantity; human review.</t>
        </is>
      </c>
      <c r="G13" s="15" t="inlineStr">
        <is>
          <t>REVIEW</t>
        </is>
      </c>
    </row>
    <row r="14">
      <c r="A14" s="8" t="inlineStr">
        <is>
          <t>Secondary/Reused Page Layout</t>
        </is>
      </c>
      <c r="B14" s="13" t="inlineStr">
        <is>
          <t>Yes</t>
        </is>
      </c>
      <c r="C14" s="22" t="n">
        <v>1000</v>
      </c>
      <c r="D14" s="13" t="n">
        <v>8</v>
      </c>
      <c r="E14" s="23">
        <f>IF(B14="Yes",C14*D14,0)</f>
        <v/>
      </c>
      <c r="F14" s="8" t="inlineStr">
        <is>
          <t>Illustrative quantity; human review.</t>
        </is>
      </c>
      <c r="G14" s="15" t="inlineStr">
        <is>
          <t>REVIEW</t>
        </is>
      </c>
    </row>
    <row r="15">
      <c r="A15" s="8" t="inlineStr">
        <is>
          <t>Custom Landing Page</t>
        </is>
      </c>
      <c r="B15" s="13" t="inlineStr">
        <is>
          <t>No</t>
        </is>
      </c>
      <c r="C15" s="22" t="n">
        <v>2500</v>
      </c>
      <c r="D15" s="13" t="n">
        <v>0</v>
      </c>
      <c r="E15" s="23">
        <f>IF(B15="Yes",C15*D15,0)</f>
        <v/>
      </c>
      <c r="F15" s="8" t="inlineStr">
        <is>
          <t>Not assumed unless campaign-specific need emerges.</t>
        </is>
      </c>
      <c r="G15" s="15" t="inlineStr">
        <is>
          <t>REVIEW</t>
        </is>
      </c>
    </row>
    <row r="16">
      <c r="A16" s="8" t="inlineStr">
        <is>
          <t>WordPress Development Foundation</t>
        </is>
      </c>
      <c r="B16" s="13" t="inlineStr">
        <is>
          <t>Yes</t>
        </is>
      </c>
      <c r="C16" s="22" t="n">
        <v>10000</v>
      </c>
      <c r="D16" s="13" t="n">
        <v>1</v>
      </c>
      <c r="E16" s="23">
        <f>IF(B16="Yes",C16*D16,0)</f>
        <v/>
      </c>
      <c r="F16" s="8" t="inlineStr">
        <is>
          <t>Bundled development foundation.</t>
        </is>
      </c>
      <c r="G16" s="15" t="inlineStr">
        <is>
          <t>REVIEW</t>
        </is>
      </c>
    </row>
    <row r="17">
      <c r="A17" s="8" t="inlineStr">
        <is>
          <t>Advanced CMS / Component System</t>
        </is>
      </c>
      <c r="B17" s="13" t="inlineStr">
        <is>
          <t>Yes</t>
        </is>
      </c>
      <c r="C17" s="22" t="n">
        <v>5000</v>
      </c>
      <c r="D17" s="13" t="n">
        <v>1</v>
      </c>
      <c r="E17" s="23">
        <f>IF(B17="Yes",C17*D17,0)</f>
        <v/>
      </c>
      <c r="F17" s="8" t="inlineStr">
        <is>
          <t>Advanced component system assumed.</t>
        </is>
      </c>
      <c r="G17" s="15" t="inlineStr">
        <is>
          <t>REVIEW</t>
        </is>
      </c>
    </row>
    <row r="18">
      <c r="A18" s="8" t="inlineStr">
        <is>
          <t>Standard Form Integration</t>
        </is>
      </c>
      <c r="B18" s="13" t="inlineStr">
        <is>
          <t>Yes</t>
        </is>
      </c>
      <c r="C18" s="22" t="n">
        <v>750</v>
      </c>
      <c r="D18" s="13" t="n">
        <v>2</v>
      </c>
      <c r="E18" s="23">
        <f>IF(B18="Yes",C18*D18,0)</f>
        <v/>
      </c>
      <c r="F18" s="8" t="inlineStr">
        <is>
          <t>Illustrative two forms.</t>
        </is>
      </c>
      <c r="G18" s="15" t="inlineStr">
        <is>
          <t>REVIEW</t>
        </is>
      </c>
    </row>
    <row r="19">
      <c r="A19" s="8" t="inlineStr">
        <is>
          <t>Advanced Form</t>
        </is>
      </c>
      <c r="B19" s="13" t="inlineStr">
        <is>
          <t>Yes</t>
        </is>
      </c>
      <c r="C19" s="22" t="n">
        <v>1500</v>
      </c>
      <c r="D19" s="13" t="n">
        <v>1</v>
      </c>
      <c r="E19" s="23">
        <f>IF(B19="Yes",C19*D19,0)</f>
        <v/>
      </c>
      <c r="F19" s="8" t="inlineStr">
        <is>
          <t>Illustrative guarantee/qualification flow.</t>
        </is>
      </c>
      <c r="G19" s="15" t="inlineStr">
        <is>
          <t>REVIEW</t>
        </is>
      </c>
    </row>
    <row r="20">
      <c r="A20" s="8" t="inlineStr">
        <is>
          <t>Standard CRM Integration</t>
        </is>
      </c>
      <c r="B20" s="13" t="inlineStr">
        <is>
          <t>Yes</t>
        </is>
      </c>
      <c r="C20" s="22" t="n">
        <v>2500</v>
      </c>
      <c r="D20" s="13" t="n">
        <v>1</v>
      </c>
      <c r="E20" s="23">
        <f>IF(B20="Yes",C20*D20,0)</f>
        <v/>
      </c>
      <c r="F20" s="8" t="inlineStr">
        <is>
          <t>HubSpot integration.</t>
        </is>
      </c>
      <c r="G20" s="15" t="inlineStr">
        <is>
          <t>REVIEW</t>
        </is>
      </c>
    </row>
    <row r="21">
      <c r="A21" s="8" t="inlineStr">
        <is>
          <t>Advanced CRM Workflow</t>
        </is>
      </c>
      <c r="B21" s="13" t="inlineStr">
        <is>
          <t>Yes</t>
        </is>
      </c>
      <c r="C21" s="22" t="n">
        <v>4000</v>
      </c>
      <c r="D21" s="13" t="n">
        <v>2</v>
      </c>
      <c r="E21" s="23">
        <f>IF(B21="Yes",C21*D21,0)</f>
        <v/>
      </c>
      <c r="F21" s="8" t="inlineStr">
        <is>
          <t>Illustrative quantity; human review.</t>
        </is>
      </c>
      <c r="G21" s="15" t="inlineStr">
        <is>
          <t>REVIEW</t>
        </is>
      </c>
    </row>
    <row r="22">
      <c r="A22" s="8" t="inlineStr">
        <is>
          <t>GA4 + GTM Foundational Setup</t>
        </is>
      </c>
      <c r="B22" s="13" t="inlineStr">
        <is>
          <t>Yes</t>
        </is>
      </c>
      <c r="C22" s="22" t="n">
        <v>2000</v>
      </c>
      <c r="D22" s="13" t="n">
        <v>1</v>
      </c>
      <c r="E22" s="23">
        <f>IF(B22="Yes",C22*D22,0)</f>
        <v/>
      </c>
      <c r="F22" s="8" t="inlineStr">
        <is>
          <t>Measurement foundation.</t>
        </is>
      </c>
      <c r="G22" s="15" t="inlineStr">
        <is>
          <t>REVIEW</t>
        </is>
      </c>
    </row>
    <row r="23">
      <c r="A23" s="8" t="inlineStr">
        <is>
          <t>Custom Event / Conversion Setup</t>
        </is>
      </c>
      <c r="B23" s="13" t="inlineStr">
        <is>
          <t>Yes</t>
        </is>
      </c>
      <c r="C23" s="22" t="n">
        <v>500</v>
      </c>
      <c r="D23" s="13" t="n">
        <v>10</v>
      </c>
      <c r="E23" s="23">
        <f>IF(B23="Yes",C23*D23,0)</f>
        <v/>
      </c>
      <c r="F23" s="8" t="inlineStr">
        <is>
          <t>Illustrative event count; human review.</t>
        </is>
      </c>
      <c r="G23" s="15" t="inlineStr">
        <is>
          <t>REVIEW</t>
        </is>
      </c>
    </row>
    <row r="24">
      <c r="A24" s="8" t="inlineStr">
        <is>
          <t>Executive Measurement Dashboard</t>
        </is>
      </c>
      <c r="B24" s="13" t="inlineStr">
        <is>
          <t>Yes</t>
        </is>
      </c>
      <c r="C24" s="22" t="n">
        <v>3500</v>
      </c>
      <c r="D24" s="13" t="n">
        <v>1</v>
      </c>
      <c r="E24" s="23">
        <f>IF(B24="Yes",C24*D24,0)</f>
        <v/>
      </c>
      <c r="F24" s="8" t="inlineStr">
        <is>
          <t>Included in full-scope demo.</t>
        </is>
      </c>
      <c r="G24" s="15" t="inlineStr">
        <is>
          <t>REVIEW</t>
        </is>
      </c>
    </row>
    <row r="25">
      <c r="A25" s="8" t="inlineStr">
        <is>
          <t>Foundational On-Page SEO</t>
        </is>
      </c>
      <c r="B25" s="13" t="inlineStr">
        <is>
          <t>Yes</t>
        </is>
      </c>
      <c r="C25" s="22" t="n">
        <v>2500</v>
      </c>
      <c r="D25" s="13" t="n">
        <v>1</v>
      </c>
      <c r="E25" s="23">
        <f>IF(B25="Yes",C25*D25,0)</f>
        <v/>
      </c>
      <c r="F25" s="8" t="inlineStr">
        <is>
          <t>Implementation baseline.</t>
        </is>
      </c>
      <c r="G25" s="15" t="inlineStr">
        <is>
          <t>REVIEW</t>
        </is>
      </c>
    </row>
    <row r="26">
      <c r="A26" s="8" t="inlineStr">
        <is>
          <t>AEO Implementation</t>
        </is>
      </c>
      <c r="B26" s="13" t="inlineStr">
        <is>
          <t>Yes</t>
        </is>
      </c>
      <c r="C26" s="22" t="n">
        <v>3500</v>
      </c>
      <c r="D26" s="13" t="n">
        <v>1</v>
      </c>
      <c r="E26" s="23">
        <f>IF(B26="Yes",C26*D26,0)</f>
        <v/>
      </c>
      <c r="F26" s="8" t="inlineStr">
        <is>
          <t>Implementation baseline.</t>
        </is>
      </c>
      <c r="G26" s="15" t="inlineStr">
        <is>
          <t>REVIEW</t>
        </is>
      </c>
    </row>
    <row r="27">
      <c r="A27" s="8" t="inlineStr">
        <is>
          <t>Accessibility Review + Standard Remediation</t>
        </is>
      </c>
      <c r="B27" s="13" t="inlineStr">
        <is>
          <t>Yes</t>
        </is>
      </c>
      <c r="C27" s="22" t="n">
        <v>2500</v>
      </c>
      <c r="D27" s="13" t="n">
        <v>1</v>
      </c>
      <c r="E27" s="23">
        <f>IF(B27="Yes",C27*D27,0)</f>
        <v/>
      </c>
      <c r="F27" s="8" t="inlineStr">
        <is>
          <t>Higher complexity may increase.</t>
        </is>
      </c>
      <c r="G27" s="15" t="inlineStr">
        <is>
          <t>REVIEW</t>
        </is>
      </c>
    </row>
    <row r="28">
      <c r="A28" s="8" t="inlineStr">
        <is>
          <t>Standard Third-Party Integration</t>
        </is>
      </c>
      <c r="B28" s="13" t="inlineStr">
        <is>
          <t>Yes</t>
        </is>
      </c>
      <c r="C28" s="22" t="n">
        <v>1000</v>
      </c>
      <c r="D28" s="13" t="n">
        <v>3</v>
      </c>
      <c r="E28" s="23">
        <f>IF(B28="Yes",C28*D28,0)</f>
        <v/>
      </c>
      <c r="F28" s="8" t="inlineStr">
        <is>
          <t>Illustrative quantity.</t>
        </is>
      </c>
      <c r="G28" s="15" t="inlineStr">
        <is>
          <t>REVIEW</t>
        </is>
      </c>
    </row>
    <row r="29">
      <c r="A29" s="8" t="inlineStr">
        <is>
          <t>Complex/API Integration</t>
        </is>
      </c>
      <c r="B29" s="13" t="inlineStr">
        <is>
          <t>No</t>
        </is>
      </c>
      <c r="C29" s="22" t="n">
        <v>3500</v>
      </c>
      <c r="D29" s="13" t="n">
        <v>0</v>
      </c>
      <c r="E29" s="23">
        <f>IF(B29="Yes",C29*D29,0)</f>
        <v/>
      </c>
      <c r="F29" s="8" t="inlineStr">
        <is>
          <t>Not assumed unless DR-006 resolves yes.</t>
        </is>
      </c>
      <c r="G29" s="15" t="inlineStr">
        <is>
          <t>REVIEW</t>
        </is>
      </c>
    </row>
    <row r="30">
      <c r="A30" s="8" t="inlineStr">
        <is>
          <t>Content Migration, first 20 pages</t>
        </is>
      </c>
      <c r="B30" s="13" t="inlineStr">
        <is>
          <t>Yes</t>
        </is>
      </c>
      <c r="C30" s="22" t="n">
        <v>2500</v>
      </c>
      <c r="D30" s="13" t="n">
        <v>1</v>
      </c>
      <c r="E30" s="23">
        <f>IF(B30="Yes",C30*D30,0)</f>
        <v/>
      </c>
      <c r="F30" s="8" t="inlineStr">
        <is>
          <t>Included as base migration.</t>
        </is>
      </c>
      <c r="G30" s="15" t="inlineStr">
        <is>
          <t>REVIEW</t>
        </is>
      </c>
    </row>
    <row r="31">
      <c r="A31" s="8" t="inlineStr">
        <is>
          <t>Additional Migration</t>
        </is>
      </c>
      <c r="B31" s="13" t="inlineStr">
        <is>
          <t>Yes</t>
        </is>
      </c>
      <c r="C31" s="22" t="n">
        <v>125</v>
      </c>
      <c r="D31" s="13" t="n">
        <v>40</v>
      </c>
      <c r="E31" s="23">
        <f>IF(B31="Yes",C31*D31,0)</f>
        <v/>
      </c>
      <c r="F31" s="8" t="inlineStr">
        <is>
          <t>Illustrative additional pages; human review.</t>
        </is>
      </c>
      <c r="G31" s="15" t="inlineStr">
        <is>
          <t>REVIEW</t>
        </is>
      </c>
    </row>
    <row r="32">
      <c r="A32" s="17" t="inlineStr">
        <is>
          <t>TOTAL INTERNAL REFERENCE VALUE</t>
        </is>
      </c>
      <c r="B32" s="18" t="n"/>
      <c r="C32" s="18" t="n"/>
      <c r="D32" s="18" t="n"/>
      <c r="E32" s="24">
        <f>SUM(E5:E31)</f>
        <v/>
      </c>
      <c r="F32" s="18" t="n"/>
      <c r="G32" s="18" t="n"/>
    </row>
  </sheetData>
  <autoFilter ref="A4:G31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22" customWidth="1" min="4" max="4"/>
    <col width="40" customWidth="1" min="5" max="5"/>
    <col width="16" customWidth="1" min="6" max="6"/>
    <col width="40" customWidth="1" min="7" max="7"/>
  </cols>
  <sheetData>
    <row r="1" ht="28" customHeight="1">
      <c r="A1" s="1" t="inlineStr">
        <is>
          <t>Delivery Economics</t>
        </is>
      </c>
    </row>
    <row r="2" ht="34" customHeight="1">
      <c r="A2" s="2" t="inlineStr">
        <is>
          <t>Internal cost and margin validation. Blue cells are human/commercial inputs. Do not expose this tab in client-facing proposals.</t>
        </is>
      </c>
    </row>
    <row r="4" ht="34" customHeight="1">
      <c r="A4" s="7" t="inlineStr">
        <is>
          <t>Role / Cost</t>
        </is>
      </c>
      <c r="B4" s="7" t="inlineStr">
        <is>
          <t>Estimated Hours / Qty</t>
        </is>
      </c>
      <c r="C4" s="7" t="inlineStr">
        <is>
          <t>Loaded Rate / Unit Cost</t>
        </is>
      </c>
      <c r="D4" s="7" t="inlineStr">
        <is>
          <t>Extended Cost</t>
        </is>
      </c>
      <c r="E4" s="7" t="inlineStr">
        <is>
          <t>Source / Basis</t>
        </is>
      </c>
      <c r="F4" s="7" t="inlineStr">
        <is>
          <t>Status</t>
        </is>
      </c>
      <c r="G4" s="7" t="inlineStr">
        <is>
          <t>Notes</t>
        </is>
      </c>
    </row>
    <row r="5">
      <c r="A5" s="8" t="inlineStr">
        <is>
          <t>Strategist / Account Lead</t>
        </is>
      </c>
      <c r="B5" s="13" t="inlineStr"/>
      <c r="C5" s="25" t="inlineStr"/>
      <c r="D5" s="23">
        <f>IF(OR(B5="",C5=""),0,B5*C5)</f>
        <v/>
      </c>
      <c r="E5" s="8" t="inlineStr">
        <is>
          <t>Current internal labor model required</t>
        </is>
      </c>
      <c r="F5" s="15" t="inlineStr">
        <is>
          <t>PENDING</t>
        </is>
      </c>
      <c r="G5" s="8" t="inlineStr"/>
    </row>
    <row r="6">
      <c r="A6" s="8" t="inlineStr">
        <is>
          <t>Content / Messaging</t>
        </is>
      </c>
      <c r="B6" s="13" t="inlineStr"/>
      <c r="C6" s="25" t="inlineStr"/>
      <c r="D6" s="23">
        <f>IF(OR(B6="",C6=""),0,B6*C6)</f>
        <v/>
      </c>
      <c r="E6" s="8" t="inlineStr">
        <is>
          <t>Current internal labor model required</t>
        </is>
      </c>
      <c r="F6" s="15" t="inlineStr">
        <is>
          <t>PENDING</t>
        </is>
      </c>
      <c r="G6" s="8" t="inlineStr"/>
    </row>
    <row r="7">
      <c r="A7" s="8" t="inlineStr">
        <is>
          <t>UX / Design</t>
        </is>
      </c>
      <c r="B7" s="13" t="inlineStr"/>
      <c r="C7" s="25" t="inlineStr"/>
      <c r="D7" s="23">
        <f>IF(OR(B7="",C7=""),0,B7*C7)</f>
        <v/>
      </c>
      <c r="E7" s="8" t="inlineStr">
        <is>
          <t>Current internal labor model required</t>
        </is>
      </c>
      <c r="F7" s="15" t="inlineStr">
        <is>
          <t>PENDING</t>
        </is>
      </c>
      <c r="G7" s="8" t="inlineStr"/>
    </row>
    <row r="8">
      <c r="A8" s="8" t="inlineStr">
        <is>
          <t>Development</t>
        </is>
      </c>
      <c r="B8" s="13" t="inlineStr"/>
      <c r="C8" s="25" t="inlineStr"/>
      <c r="D8" s="23">
        <f>IF(OR(B8="",C8=""),0,B8*C8)</f>
        <v/>
      </c>
      <c r="E8" s="8" t="inlineStr">
        <is>
          <t>Current internal labor model required</t>
        </is>
      </c>
      <c r="F8" s="15" t="inlineStr">
        <is>
          <t>PENDING</t>
        </is>
      </c>
      <c r="G8" s="8" t="inlineStr"/>
    </row>
    <row r="9">
      <c r="A9" s="8" t="inlineStr">
        <is>
          <t>SEO / AEO / Analytics</t>
        </is>
      </c>
      <c r="B9" s="13" t="inlineStr"/>
      <c r="C9" s="25" t="inlineStr"/>
      <c r="D9" s="23">
        <f>IF(OR(B9="",C9=""),0,B9*C9)</f>
        <v/>
      </c>
      <c r="E9" s="8" t="inlineStr">
        <is>
          <t>Current internal labor model required</t>
        </is>
      </c>
      <c r="F9" s="15" t="inlineStr">
        <is>
          <t>PENDING</t>
        </is>
      </c>
      <c r="G9" s="8" t="inlineStr"/>
    </row>
    <row r="10">
      <c r="A10" s="8" t="inlineStr">
        <is>
          <t>Project Management / QA</t>
        </is>
      </c>
      <c r="B10" s="13" t="inlineStr"/>
      <c r="C10" s="25" t="inlineStr"/>
      <c r="D10" s="23">
        <f>IF(OR(B10="",C10=""),0,B10*C10)</f>
        <v/>
      </c>
      <c r="E10" s="8" t="inlineStr">
        <is>
          <t>Current internal labor model required</t>
        </is>
      </c>
      <c r="F10" s="15" t="inlineStr">
        <is>
          <t>PENDING</t>
        </is>
      </c>
      <c r="G10" s="8" t="inlineStr"/>
    </row>
    <row r="11">
      <c r="A11" s="8" t="inlineStr">
        <is>
          <t>Contractors</t>
        </is>
      </c>
      <c r="B11" s="13" t="inlineStr"/>
      <c r="C11" s="25" t="inlineStr"/>
      <c r="D11" s="23">
        <f>IF(OR(B11="",C11=""),0,B11*C11)</f>
        <v/>
      </c>
      <c r="E11" s="8" t="inlineStr">
        <is>
          <t>Current contractor quotes / assumptions</t>
        </is>
      </c>
      <c r="F11" s="15" t="inlineStr">
        <is>
          <t>PENDING</t>
        </is>
      </c>
      <c r="G11" s="8" t="inlineStr"/>
    </row>
    <row r="12">
      <c r="A12" s="8" t="inlineStr">
        <is>
          <t>Software / Project Expenses</t>
        </is>
      </c>
      <c r="B12" s="13" t="inlineStr"/>
      <c r="C12" s="25" t="inlineStr"/>
      <c r="D12" s="23">
        <f>IF(OR(B12="",C12=""),0,B12*C12)</f>
        <v/>
      </c>
      <c r="E12" s="8" t="inlineStr">
        <is>
          <t>Project-specific costs</t>
        </is>
      </c>
      <c r="F12" s="15" t="inlineStr">
        <is>
          <t>PENDING</t>
        </is>
      </c>
      <c r="G12" s="8" t="inlineStr"/>
    </row>
    <row r="13">
      <c r="A13" s="17" t="inlineStr">
        <is>
          <t>SUBTOTAL DELIVERY COST</t>
        </is>
      </c>
      <c r="B13" s="18" t="n"/>
      <c r="C13" s="18" t="n"/>
      <c r="D13" s="24">
        <f>SUM(D5:D12)</f>
        <v/>
      </c>
      <c r="E13" s="18" t="n"/>
      <c r="F13" s="18" t="n"/>
      <c r="G13" s="18" t="n"/>
    </row>
    <row r="14">
      <c r="A14" t="inlineStr">
        <is>
          <t>CONTINGENCY %</t>
        </is>
      </c>
      <c r="B14" s="26" t="inlineStr"/>
    </row>
    <row r="15">
      <c r="A15" s="17" t="inlineStr">
        <is>
          <t>RISK-ADJUSTED DELIVERY COST</t>
        </is>
      </c>
      <c r="B15" s="18" t="n"/>
      <c r="C15" s="18" t="n"/>
      <c r="D15" s="24">
        <f>D13*(1+B14)</f>
        <v/>
      </c>
      <c r="E15" s="18" t="n"/>
      <c r="F15" s="18" t="n"/>
      <c r="G15" s="18" t="n"/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85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4" customWidth="1" min="3" max="3"/>
    <col width="60" customWidth="1" min="4" max="4"/>
    <col width="32" customWidth="1" min="5" max="5"/>
    <col width="16" customWidth="1" min="6" max="6"/>
  </cols>
  <sheetData>
    <row r="1" ht="28" customHeight="1">
      <c r="A1" s="1" t="inlineStr">
        <is>
          <t>Foundation Pricing Recommendation</t>
        </is>
      </c>
    </row>
    <row r="2" ht="34" customHeight="1">
      <c r="A2" s="2" t="inlineStr">
        <is>
          <t>Complexity, reference value, and delivery economics must validate one another before one fixed investment is recommended.</t>
        </is>
      </c>
    </row>
    <row r="4" ht="34" customHeight="1">
      <c r="A4" s="7" t="inlineStr">
        <is>
          <t>Control</t>
        </is>
      </c>
      <c r="B4" s="7" t="inlineStr">
        <is>
          <t>Value</t>
        </is>
      </c>
      <c r="C4" s="7" t="inlineStr">
        <is>
          <t>Status</t>
        </is>
      </c>
      <c r="D4" s="7" t="inlineStr">
        <is>
          <t>Interpretation</t>
        </is>
      </c>
      <c r="E4" s="7" t="inlineStr">
        <is>
          <t>Human Decision</t>
        </is>
      </c>
      <c r="F4" s="7" t="inlineStr">
        <is>
          <t>Client-Facing?</t>
        </is>
      </c>
    </row>
    <row r="5">
      <c r="A5" s="8" t="inlineStr">
        <is>
          <t>Complexity Score</t>
        </is>
      </c>
      <c r="B5" s="8">
        <f>'Complexity Score'!E20</f>
        <v/>
      </c>
      <c r="C5" s="14" t="inlineStr">
        <is>
          <t>FORMULA</t>
        </is>
      </c>
      <c r="D5" s="8" t="inlineStr">
        <is>
          <t>Internal complexity signal.</t>
        </is>
      </c>
      <c r="E5" s="8" t="inlineStr"/>
      <c r="F5" s="8" t="inlineStr">
        <is>
          <t>No</t>
        </is>
      </c>
    </row>
    <row r="6">
      <c r="A6" s="8" t="inlineStr">
        <is>
          <t>Complexity Classification</t>
        </is>
      </c>
      <c r="B6" s="8">
        <f>'Complexity Score'!E21</f>
        <v/>
      </c>
      <c r="C6" s="14" t="inlineStr">
        <is>
          <t>FORMULA</t>
        </is>
      </c>
      <c r="D6" s="8" t="inlineStr">
        <is>
          <t>Internal classification.</t>
        </is>
      </c>
      <c r="E6" s="8" t="inlineStr"/>
      <c r="F6" s="8" t="inlineStr">
        <is>
          <t>No</t>
        </is>
      </c>
    </row>
    <row r="7">
      <c r="A7" s="8" t="inlineStr">
        <is>
          <t>Internal Pricing Band</t>
        </is>
      </c>
      <c r="B7" s="8">
        <f>'Complexity Score'!E22</f>
        <v/>
      </c>
      <c r="C7" s="14" t="inlineStr">
        <is>
          <t>FORMULA</t>
        </is>
      </c>
      <c r="D7" s="8" t="inlineStr">
        <is>
          <t>Guardrail, not client price.</t>
        </is>
      </c>
      <c r="E7" s="8" t="inlineStr"/>
      <c r="F7" s="8" t="inlineStr">
        <is>
          <t>No</t>
        </is>
      </c>
    </row>
    <row r="8">
      <c r="A8" s="8" t="inlineStr">
        <is>
          <t>Deliverable Reference Value</t>
        </is>
      </c>
      <c r="B8" s="23">
        <f>'Deliverable Validation'!E32</f>
        <v/>
      </c>
      <c r="C8" s="14" t="inlineStr">
        <is>
          <t>FORMULA</t>
        </is>
      </c>
      <c r="D8" s="8" t="inlineStr">
        <is>
          <t>Validates scope/responsibility; not line-item client pricing.</t>
        </is>
      </c>
      <c r="E8" s="8" t="inlineStr"/>
      <c r="F8" s="8" t="inlineStr">
        <is>
          <t>No</t>
        </is>
      </c>
    </row>
    <row r="9">
      <c r="A9" s="8" t="inlineStr">
        <is>
          <t>Risk-Adjusted Delivery Cost</t>
        </is>
      </c>
      <c r="B9" s="23">
        <f>'Delivery Economics'!D15</f>
        <v/>
      </c>
      <c r="C9" s="16" t="inlineStr">
        <is>
          <t>BLOCKED UNTIL INPUTS</t>
        </is>
      </c>
      <c r="D9" s="8" t="inlineStr">
        <is>
          <t>Delivery economics cannot validate price until costs are populated.</t>
        </is>
      </c>
      <c r="E9" s="8" t="inlineStr"/>
      <c r="F9" s="8" t="inlineStr">
        <is>
          <t>No</t>
        </is>
      </c>
    </row>
    <row r="10">
      <c r="A10" s="8" t="inlineStr">
        <is>
          <t>Approved Margin Floor</t>
        </is>
      </c>
      <c r="B10" s="27" t="inlineStr"/>
      <c r="C10" s="15" t="inlineStr">
        <is>
          <t>HUMAN INPUT</t>
        </is>
      </c>
      <c r="D10" s="8" t="inlineStr">
        <is>
          <t>Current commercial policy required.</t>
        </is>
      </c>
      <c r="E10" s="8" t="inlineStr"/>
      <c r="F10" s="8" t="inlineStr">
        <is>
          <t>No</t>
        </is>
      </c>
    </row>
    <row r="11">
      <c r="A11" s="8" t="inlineStr">
        <is>
          <t>Margin-Supporting Minimum Price</t>
        </is>
      </c>
      <c r="B11" s="23">
        <f>IF(OR(B9="",B10=""),"",B9/(1-B10))</f>
        <v/>
      </c>
      <c r="C11" s="15" t="inlineStr">
        <is>
          <t>FORMULA AFTER INPUT</t>
        </is>
      </c>
      <c r="D11" s="8" t="inlineStr">
        <is>
          <t>Price needed to meet approved margin floor.</t>
        </is>
      </c>
      <c r="E11" s="8" t="inlineStr"/>
      <c r="F11" s="8" t="inlineStr">
        <is>
          <t>No</t>
        </is>
      </c>
    </row>
    <row r="12">
      <c r="A12" s="8" t="inlineStr">
        <is>
          <t>Recommended Fixed Investment</t>
        </is>
      </c>
      <c r="B12" s="25" t="inlineStr"/>
      <c r="C12" s="16" t="inlineStr">
        <is>
          <t>BLOCKED</t>
        </is>
      </c>
      <c r="D12" s="8" t="inlineStr">
        <is>
          <t>AI may recommend only after all three controls reconcile.</t>
        </is>
      </c>
      <c r="E12" s="8" t="inlineStr"/>
      <c r="F12" s="8" t="inlineStr">
        <is>
          <t>Yes</t>
        </is>
      </c>
    </row>
    <row r="13">
      <c r="A13" s="8" t="inlineStr">
        <is>
          <t>Pricing Review Result</t>
        </is>
      </c>
      <c r="B13" s="13" t="inlineStr"/>
      <c r="C13" s="16" t="inlineStr">
        <is>
          <t>BLOCKED</t>
        </is>
      </c>
      <c r="D13" s="8" t="inlineStr">
        <is>
          <t>PASS / PRICING REVIEW REQUIRED.</t>
        </is>
      </c>
      <c r="E13" s="8" t="inlineStr"/>
      <c r="F13" s="8" t="inlineStr">
        <is>
          <t>No</t>
        </is>
      </c>
    </row>
    <row r="14">
      <c r="A14" s="8" t="inlineStr">
        <is>
          <t>Human Approver</t>
        </is>
      </c>
      <c r="B14" s="13" t="inlineStr"/>
      <c r="C14" s="15" t="inlineStr">
        <is>
          <t>PENDING</t>
        </is>
      </c>
      <c r="D14" s="8" t="inlineStr">
        <is>
          <t>All Foundation pricing requires human approval.</t>
        </is>
      </c>
      <c r="E14" s="8" t="inlineStr"/>
      <c r="F14" s="8" t="inlineStr">
        <is>
          <t>No</t>
        </is>
      </c>
    </row>
    <row r="15">
      <c r="A15" s="8" t="inlineStr">
        <is>
          <t>Final Approved Price</t>
        </is>
      </c>
      <c r="B15" s="25" t="inlineStr"/>
      <c r="C15" s="15" t="inlineStr">
        <is>
          <t>PENDING</t>
        </is>
      </c>
      <c r="D15" s="8" t="inlineStr">
        <is>
          <t>One client-facing fixed investment.</t>
        </is>
      </c>
      <c r="E15" s="8" t="inlineStr"/>
      <c r="F15" s="8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46" customWidth="1" min="3" max="3"/>
    <col width="18" customWidth="1" min="4" max="4"/>
    <col width="24" customWidth="1" min="5" max="5"/>
    <col width="40" customWidth="1" min="6" max="6"/>
    <col width="16" customWidth="1" min="7" max="7"/>
  </cols>
  <sheetData>
    <row r="1" ht="28" customHeight="1">
      <c r="A1" s="1" t="inlineStr">
        <is>
          <t>Foundation Scoping Approval Gate</t>
        </is>
      </c>
    </row>
    <row r="2" ht="34" customHeight="1">
      <c r="A2" s="2" t="inlineStr">
        <is>
          <t>Foundation cannot move to a final proposal until material scoping and commercial gates are approved.</t>
        </is>
      </c>
    </row>
    <row r="4" ht="34" customHeight="1">
      <c r="A4" s="7" t="inlineStr">
        <is>
          <t>Gate</t>
        </is>
      </c>
      <c r="B4" s="7" t="inlineStr">
        <is>
          <t>Required State</t>
        </is>
      </c>
      <c r="C4" s="7" t="inlineStr">
        <is>
          <t>Demo State</t>
        </is>
      </c>
      <c r="D4" s="7" t="inlineStr">
        <is>
          <t>Status</t>
        </is>
      </c>
      <c r="E4" s="7" t="inlineStr">
        <is>
          <t>Owner</t>
        </is>
      </c>
      <c r="F4" s="7" t="inlineStr">
        <is>
          <t>Evidence / Decision</t>
        </is>
      </c>
      <c r="G4" s="7" t="inlineStr">
        <is>
          <t>Blocks Proposal?</t>
        </is>
      </c>
    </row>
    <row r="5">
      <c r="A5" s="8" t="inlineStr">
        <is>
          <t>Strategic Foundation</t>
        </is>
      </c>
      <c r="B5" s="8" t="inlineStr">
        <is>
          <t>No unresolved material strategic unknowns.</t>
        </is>
      </c>
      <c r="C5" s="8" t="inlineStr">
        <is>
          <t>Human review required.</t>
        </is>
      </c>
      <c r="D5" s="11" t="inlineStr">
        <is>
          <t>PENDING</t>
        </is>
      </c>
      <c r="E5" s="8" t="inlineStr">
        <is>
          <t>Strategist</t>
        </is>
      </c>
      <c r="F5" s="8" t="inlineStr"/>
      <c r="G5" s="8" t="inlineStr">
        <is>
          <t>Yes</t>
        </is>
      </c>
    </row>
    <row r="6">
      <c r="A6" s="8" t="inlineStr">
        <is>
          <t>Implementation Scope</t>
        </is>
      </c>
      <c r="B6" s="8" t="inlineStr">
        <is>
          <t>Required deliverables and responsibilities sufficiently defined.</t>
        </is>
      </c>
      <c r="C6" s="8" t="inlineStr">
        <is>
          <t>Several open quantities/dependencies.</t>
        </is>
      </c>
      <c r="D6" s="11" t="inlineStr">
        <is>
          <t>PENDING</t>
        </is>
      </c>
      <c r="E6" s="8" t="inlineStr">
        <is>
          <t>Project Lead + Specialists</t>
        </is>
      </c>
      <c r="F6" s="8" t="inlineStr"/>
      <c r="G6" s="8" t="inlineStr">
        <is>
          <t>Yes</t>
        </is>
      </c>
    </row>
    <row r="7">
      <c r="A7" s="8" t="inlineStr">
        <is>
          <t>Architecture / Content Volume</t>
        </is>
      </c>
      <c r="B7" s="8" t="inlineStr">
        <is>
          <t>Page/template/migration scope understood enough to price.</t>
        </is>
      </c>
      <c r="C7" s="8" t="inlineStr">
        <is>
          <t>Not finalized in demo.</t>
        </is>
      </c>
      <c r="D7" s="11" t="inlineStr">
        <is>
          <t>PENDING</t>
        </is>
      </c>
      <c r="E7" s="8" t="inlineStr">
        <is>
          <t>Strategist + Content Lead</t>
        </is>
      </c>
      <c r="F7" s="8" t="inlineStr"/>
      <c r="G7" s="8" t="inlineStr">
        <is>
          <t>Yes</t>
        </is>
      </c>
    </row>
    <row r="8">
      <c r="A8" s="8" t="inlineStr">
        <is>
          <t>Technical / Integration Scope</t>
        </is>
      </c>
      <c r="B8" s="8" t="inlineStr">
        <is>
          <t>CMS, CRM, forms, integrations, accessibility, migration, performance understood enough to price.</t>
        </is>
      </c>
      <c r="C8" s="8" t="inlineStr">
        <is>
          <t>Several open items.</t>
        </is>
      </c>
      <c r="D8" s="11" t="inlineStr">
        <is>
          <t>PENDING</t>
        </is>
      </c>
      <c r="E8" s="8" t="inlineStr">
        <is>
          <t>Technical Lead</t>
        </is>
      </c>
      <c r="F8" s="8" t="inlineStr"/>
      <c r="G8" s="8" t="inlineStr">
        <is>
          <t>Yes</t>
        </is>
      </c>
    </row>
    <row r="9">
      <c r="A9" s="8" t="inlineStr">
        <is>
          <t>Stakeholders / Partners</t>
        </is>
      </c>
      <c r="B9" s="8" t="inlineStr">
        <is>
          <t>Active approvers and partner responsibilities defined.</t>
        </is>
      </c>
      <c r="C9" s="8" t="inlineStr">
        <is>
          <t>Open.</t>
        </is>
      </c>
      <c r="D9" s="11" t="inlineStr">
        <is>
          <t>PENDING</t>
        </is>
      </c>
      <c r="E9" s="8" t="inlineStr">
        <is>
          <t>Project Lead</t>
        </is>
      </c>
      <c r="F9" s="8" t="inlineStr"/>
      <c r="G9" s="8" t="inlineStr">
        <is>
          <t>Yes</t>
        </is>
      </c>
    </row>
    <row r="10">
      <c r="A10" s="8" t="inlineStr">
        <is>
          <t>Timeline</t>
        </is>
      </c>
      <c r="B10" s="8" t="inlineStr">
        <is>
          <t>Delivery window sufficiently known.</t>
        </is>
      </c>
      <c r="C10" s="8" t="inlineStr">
        <is>
          <t>Open.</t>
        </is>
      </c>
      <c r="D10" s="11" t="inlineStr">
        <is>
          <t>PENDING</t>
        </is>
      </c>
      <c r="E10" s="8" t="inlineStr">
        <is>
          <t>Project Lead + Client</t>
        </is>
      </c>
      <c r="F10" s="8" t="inlineStr"/>
      <c r="G10" s="8" t="inlineStr">
        <is>
          <t>Yes</t>
        </is>
      </c>
    </row>
    <row r="11">
      <c r="A11" s="8" t="inlineStr">
        <is>
          <t>Complexity Score</t>
        </is>
      </c>
      <c r="B11" s="8" t="inlineStr">
        <is>
          <t>Human-reviewed scoring complete.</t>
        </is>
      </c>
      <c r="C11" s="8" t="inlineStr">
        <is>
          <t>Demo assumptions only.</t>
        </is>
      </c>
      <c r="D11" s="11" t="inlineStr">
        <is>
          <t>PENDING</t>
        </is>
      </c>
      <c r="E11" s="8" t="inlineStr">
        <is>
          <t>Commercial Lead</t>
        </is>
      </c>
      <c r="F11" s="8" t="inlineStr"/>
      <c r="G11" s="8" t="inlineStr">
        <is>
          <t>Yes</t>
        </is>
      </c>
    </row>
    <row r="12">
      <c r="A12" s="8" t="inlineStr">
        <is>
          <t>Reference Value</t>
        </is>
      </c>
      <c r="B12" s="8" t="inlineStr">
        <is>
          <t>Included deliverables/quantities human-reviewed.</t>
        </is>
      </c>
      <c r="C12" s="8" t="inlineStr">
        <is>
          <t>Demo assumptions only.</t>
        </is>
      </c>
      <c r="D12" s="11" t="inlineStr">
        <is>
          <t>PENDING</t>
        </is>
      </c>
      <c r="E12" s="8" t="inlineStr">
        <is>
          <t>Commercial Lead</t>
        </is>
      </c>
      <c r="F12" s="8" t="inlineStr"/>
      <c r="G12" s="8" t="inlineStr">
        <is>
          <t>Yes</t>
        </is>
      </c>
    </row>
    <row r="13">
      <c r="A13" s="8" t="inlineStr">
        <is>
          <t>Delivery Economics</t>
        </is>
      </c>
      <c r="B13" s="8" t="inlineStr">
        <is>
          <t>Hours/costs/contingency populated.</t>
        </is>
      </c>
      <c r="C13" s="8" t="inlineStr">
        <is>
          <t>Not populated.</t>
        </is>
      </c>
      <c r="D13" s="12" t="inlineStr">
        <is>
          <t>BLOCKED</t>
        </is>
      </c>
      <c r="E13" s="8" t="inlineStr">
        <is>
          <t>Commercial Lead</t>
        </is>
      </c>
      <c r="F13" s="8" t="inlineStr"/>
      <c r="G13" s="8" t="inlineStr">
        <is>
          <t>Yes</t>
        </is>
      </c>
    </row>
    <row r="14">
      <c r="A14" s="8" t="inlineStr">
        <is>
          <t>Margin Validation</t>
        </is>
      </c>
      <c r="B14" s="8" t="inlineStr">
        <is>
          <t>Approved margin floor passes.</t>
        </is>
      </c>
      <c r="C14" s="8" t="inlineStr">
        <is>
          <t>Cannot calculate yet.</t>
        </is>
      </c>
      <c r="D14" s="12" t="inlineStr">
        <is>
          <t>BLOCKED</t>
        </is>
      </c>
      <c r="E14" s="8" t="inlineStr">
        <is>
          <t>Commercial Approver</t>
        </is>
      </c>
      <c r="F14" s="8" t="inlineStr"/>
      <c r="G14" s="8" t="inlineStr">
        <is>
          <t>Yes</t>
        </is>
      </c>
    </row>
    <row r="15">
      <c r="A15" s="8" t="inlineStr">
        <is>
          <t>Fixed Investment</t>
        </is>
      </c>
      <c r="B15" s="8" t="inlineStr">
        <is>
          <t>One price recommended and approved.</t>
        </is>
      </c>
      <c r="C15" s="8" t="inlineStr">
        <is>
          <t>Not available.</t>
        </is>
      </c>
      <c r="D15" s="12" t="inlineStr">
        <is>
          <t>BLOCKED</t>
        </is>
      </c>
      <c r="E15" s="8" t="inlineStr">
        <is>
          <t>Authorized Human</t>
        </is>
      </c>
      <c r="F15" s="8" t="inlineStr"/>
      <c r="G15" s="8" t="inlineStr">
        <is>
          <t>Yes</t>
        </is>
      </c>
    </row>
    <row r="16">
      <c r="A16" s="8" t="inlineStr">
        <is>
          <t>Proposal Ready</t>
        </is>
      </c>
      <c r="B16" s="8" t="inlineStr">
        <is>
          <t>All required gates above approved.</t>
        </is>
      </c>
      <c r="C16" s="8" t="inlineStr">
        <is>
          <t>No.</t>
        </is>
      </c>
      <c r="D16" s="12" t="inlineStr">
        <is>
          <t>BLOCKED</t>
        </is>
      </c>
      <c r="E16" s="8" t="inlineStr">
        <is>
          <t>Commercial Approver</t>
        </is>
      </c>
      <c r="F16" s="8" t="inlineStr"/>
      <c r="G16" s="8" t="inlineStr">
        <is>
          <t>Yes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zoomScale="85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20" customWidth="1" min="4" max="4"/>
    <col width="86" customWidth="1" min="5" max="5"/>
    <col width="24" customWidth="1" min="6" max="6"/>
    <col width="22" customWidth="1" min="7" max="7"/>
  </cols>
  <sheetData>
    <row r="1" ht="28" customHeight="1">
      <c r="A1" s="1" t="inlineStr">
        <is>
          <t>Change Log</t>
        </is>
      </c>
    </row>
    <row r="2" ht="34" customHeight="1">
      <c r="A2" s="2" t="inlineStr">
        <is>
          <t>Revision history for the Foundation Scoping Record.</t>
        </is>
      </c>
    </row>
    <row r="4" ht="34" customHeight="1">
      <c r="A4" s="7" t="inlineStr">
        <is>
          <t>Version</t>
        </is>
      </c>
      <c r="B4" s="7" t="inlineStr">
        <is>
          <t>Date</t>
        </is>
      </c>
      <c r="C4" s="7" t="inlineStr">
        <is>
          <t>Requested By</t>
        </is>
      </c>
      <c r="D4" s="7" t="inlineStr">
        <is>
          <t>Area</t>
        </is>
      </c>
      <c r="E4" s="7" t="inlineStr">
        <is>
          <t>Change</t>
        </is>
      </c>
      <c r="F4" s="7" t="inlineStr">
        <is>
          <t>Status</t>
        </is>
      </c>
      <c r="G4" s="7" t="inlineStr">
        <is>
          <t>Approved By</t>
        </is>
      </c>
    </row>
    <row r="5">
      <c r="A5" s="8" t="inlineStr">
        <is>
          <t>v1.0</t>
        </is>
      </c>
      <c r="B5" s="8" t="inlineStr">
        <is>
          <t>2026-09-03</t>
        </is>
      </c>
      <c r="C5" s="8" t="inlineStr">
        <is>
          <t>SimpliCreative</t>
        </is>
      </c>
      <c r="D5" s="8" t="inlineStr">
        <is>
          <t>All</t>
        </is>
      </c>
      <c r="E5" s="8" t="inlineStr">
        <is>
          <t>Initial Gold Standard created for Northstar full-scope Foundation scoping demonstration. Complexity/reference-value assumptions are illustrative; delivery economics and fixed price intentionally remain unresolved.</t>
        </is>
      </c>
      <c r="F5" s="8" t="inlineStr">
        <is>
          <t>Issued for Human Review</t>
        </is>
      </c>
      <c r="G5" s="8" t="inlineStr"/>
    </row>
  </sheetData>
  <mergeCells count="2">
    <mergeCell ref="A2:G2"/>
    <mergeCell ref="A1:G1"/>
  </mergeCells>
  <pageMargins left="0.75" right="0.75" top="1" bottom="1" header="0.5" footer="0.5"/>
  <pageSetup orientation="landscape" fitToWidth="1"/>
  <headerFooter>
    <oddHeader/>
    <oddFooter>&amp;C&amp;8 &amp;K4B5563SimpliCreative | Gold Standard Demonstration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2026-09-03T06:17:07Z</dcterms:created>
  <dcterms:modified xmlns:dcterms="http://purl.org/dc/terms/" xmlns:xsi="http://www.w3.org/2001/XMLSchema-instance" xsi:type="dcterms:W3CDTF">2026-09-03T06:17:07Z</dcterms:modified>
</cp:coreProperties>
</file>