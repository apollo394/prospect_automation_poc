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itemap" sheetId="2" state="visible" r:id="rId2"/>
    <sheet xmlns:r="http://schemas.openxmlformats.org/officeDocument/2006/relationships" name="Navigation" sheetId="3" state="visible" r:id="rId3"/>
    <sheet xmlns:r="http://schemas.openxmlformats.org/officeDocument/2006/relationships" name="Redirects" sheetId="4" state="visible" r:id="rId4"/>
    <sheet xmlns:r="http://schemas.openxmlformats.org/officeDocument/2006/relationships" name="Schema Guide" sheetId="5" state="visible" r:id="rId5"/>
    <sheet xmlns:r="http://schemas.openxmlformats.org/officeDocument/2006/relationships" name="Authority &amp; Proof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Change Log" sheetId="8" state="visible" r:id="rId8"/>
  </sheets>
  <definedNames>
    <definedName name="_xlnm._FilterDatabase" localSheetId="1" hidden="1">'Sitemap'!$A$4:$AA$103</definedName>
    <definedName name="_xlnm._FilterDatabase" localSheetId="2" hidden="1">'Navigation'!$A$4:$I$39</definedName>
    <definedName name="_xlnm._FilterDatabase" localSheetId="3" hidden="1">'Redirects'!$A$4:$H$78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B5563"/>
      <sz val="9"/>
    </font>
    <font>
      <name val="Aptos"/>
      <b val="1"/>
      <color rgb="00173B56"/>
      <sz val="9"/>
    </font>
    <font>
      <name val="Aptos"/>
      <color rgb="00000000"/>
      <sz val="9"/>
    </font>
    <font>
      <name val="Aptos"/>
      <b val="1"/>
      <color rgb="001B7F79"/>
      <sz val="11"/>
    </font>
    <font>
      <name val="Aptos Mono"/>
      <color rgb="004B5563"/>
      <sz val="8"/>
    </font>
    <font>
      <name val="Aptos"/>
      <b val="1"/>
      <color rgb="00FFFFFF"/>
      <sz val="8"/>
    </font>
    <font>
      <name val="Aptos"/>
      <color rgb="00000000"/>
      <sz val="7.5"/>
    </font>
    <font>
      <name val="Aptos"/>
      <color rgb="00008000"/>
      <sz val="7.5"/>
    </font>
    <font>
      <name val="Aptos"/>
      <color rgb="000000FF"/>
      <sz val="7.5"/>
    </font>
    <font>
      <name val="Aptos"/>
      <color rgb="00000000"/>
      <sz val="8"/>
    </font>
    <font>
      <name val="Aptos"/>
      <color rgb="00008000"/>
      <sz val="8"/>
    </font>
    <font>
      <name val="Aptos"/>
      <color rgb="000000FF"/>
      <sz val="8"/>
    </font>
    <font>
      <name val="Aptos"/>
      <color rgb="004B5563"/>
      <sz val="8"/>
    </font>
    <font>
      <name val="Aptos"/>
      <color rgb="004B5563"/>
      <sz val="9"/>
    </font>
    <font>
      <name val="Aptos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73B56"/>
      </patternFill>
    </fill>
    <fill>
      <patternFill patternType="solid">
        <fgColor rgb="00F3F5F7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bottom style="medium">
        <color rgb="00173B56"/>
      </bottom>
    </border>
    <border>
      <bottom style="thin">
        <color rgb="00AAB2B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vertical="center" wrapText="1"/>
    </xf>
    <xf numFmtId="0" fontId="8" fillId="0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/>
    </xf>
    <xf numFmtId="0" fontId="10" fillId="5" borderId="2" applyAlignment="1" pivotButton="0" quotePrefix="0" xfId="0">
      <alignment vertical="top" wrapText="1"/>
    </xf>
    <xf numFmtId="0" fontId="9" fillId="6" borderId="2" applyAlignment="1" pivotButton="0" quotePrefix="0" xfId="0">
      <alignment vertical="top" wrapText="1"/>
    </xf>
    <xf numFmtId="0" fontId="12" fillId="0" borderId="2" applyAlignment="1" pivotButton="0" quotePrefix="0" xfId="0">
      <alignment vertical="top" wrapText="1"/>
    </xf>
    <xf numFmtId="0" fontId="13" fillId="5" borderId="2" applyAlignment="1" pivotButton="0" quotePrefix="0" xfId="0">
      <alignment vertical="top" wrapText="1"/>
    </xf>
    <xf numFmtId="0" fontId="11" fillId="0" borderId="2" applyAlignment="1" pivotButton="0" quotePrefix="0" xfId="0">
      <alignment vertical="top" wrapText="1"/>
    </xf>
    <xf numFmtId="0" fontId="13" fillId="0" borderId="2" applyAlignment="1" pivotButton="0" quotePrefix="0" xfId="0">
      <alignment vertical="top" wrapText="1"/>
    </xf>
    <xf numFmtId="0" fontId="11" fillId="5" borderId="2" applyAlignment="1" pivotButton="0" quotePrefix="0" xfId="0">
      <alignment vertical="top" wrapText="1"/>
    </xf>
    <xf numFmtId="0" fontId="14" fillId="0" borderId="2" applyAlignment="1" pivotButton="0" quotePrefix="0" xfId="0">
      <alignment vertical="top" wrapText="1"/>
    </xf>
    <xf numFmtId="0" fontId="11" fillId="4" borderId="2" applyAlignment="1" pivotButton="0" quotePrefix="0" xfId="0">
      <alignment vertical="top" wrapText="1"/>
    </xf>
    <xf numFmtId="0" fontId="15" fillId="0" borderId="2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SimpliCreative</author>
  </authors>
  <commentList>
    <comment ref="H4" authorId="0" shapeId="0">
      <text>
        <t>Draft buyer-intent mapping. Human strategist must approve.</t>
      </text>
    </comment>
    <comment ref="J4" authorId="0" shapeId="0">
      <text>
        <t>Page objective should remain one primary job. Human strategist approves.</t>
      </text>
    </comment>
    <comment ref="N4" authorId="0" shapeId="0">
      <text>
        <t>Imported from NuVue Meta &amp; Schema Recommendations where available.</t>
      </text>
    </comment>
    <comment ref="P4" authorId="0" shapeId="0">
      <text>
        <t>Imported from NuVue Meta &amp; Schema Recommendations where available.</t>
      </text>
    </comment>
    <comment ref="T4" authorId="0" shapeId="0">
      <text>
        <t>Imported from NuVue Meta &amp; Schema Recommendations where available. Schema must match actual page content.</t>
      </text>
    </comment>
    <comment ref="X4" authorId="0" shapeId="0">
      <text>
        <t>Redirect requirement is derived from existing vs proposed URL/status. Target approval remains human-led.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zoomScale="85" workbookViewId="0">
      <selection activeCell="A1" sqref="A1"/>
    </sheetView>
  </sheetViews>
  <sheetFormatPr baseColWidth="8" defaultRowHeight="15"/>
  <cols>
    <col width="28" customWidth="1" min="1" max="1"/>
    <col width="105" customWidth="1" min="2" max="2"/>
    <col width="14" customWidth="1" min="3" max="3"/>
    <col width="14" customWidth="1" min="4" max="4"/>
  </cols>
  <sheetData>
    <row r="1" ht="30" customHeight="1">
      <c r="A1" s="1" t="inlineStr">
        <is>
          <t>NuVue — Integrated Site Architecture</t>
        </is>
      </c>
    </row>
    <row r="2" ht="34" customHeight="1">
      <c r="A2" s="2" t="inlineStr">
        <is>
          <t>Gold-standard Foundation workbook combining page architecture, buyer intent, metadata, schema, redirects, navigation, proof dependencies, and measurement.</t>
        </is>
      </c>
    </row>
    <row r="4" ht="42" customHeight="1">
      <c r="A4" s="3" t="inlineStr">
        <is>
          <t>What this is</t>
        </is>
      </c>
      <c r="B4" s="4" t="inlineStr">
        <is>
          <t>The page-level source of truth for the proposed NuVue website architecture. It consolidates the prior Proposed Site Architecture workbook and the separate Meta &amp; Schema Recommendations workbook into one governed implementation artifact.</t>
        </is>
      </c>
    </row>
    <row r="5" ht="42" customHeight="1">
      <c r="A5" s="3" t="inlineStr">
        <is>
          <t>Why it exists</t>
        </is>
      </c>
      <c r="B5" s="4" t="inlineStr">
        <is>
          <t>Copy, design, development, SEO, AEO/GEO, analytics, and migration should not rely on disconnected page lists. Each material page should carry its purpose, buyer intent, CTA, URL, metadata, schema, dependencies, and measurement context in one place.</t>
        </is>
      </c>
    </row>
    <row r="6" ht="42" customHeight="1">
      <c r="A6" s="3" t="inlineStr">
        <is>
          <t>Main tab</t>
        </is>
      </c>
      <c r="B6" s="4" t="inlineStr">
        <is>
          <t>Sitemap is the page-level source of truth. Filter by Status, Buyer Intent, Section, Schema, Review Flag, or Redirect Requirement.</t>
        </is>
      </c>
    </row>
    <row r="7" ht="42" customHeight="1">
      <c r="A7" s="3" t="inlineStr">
        <is>
          <t>Buyer intent</t>
        </is>
      </c>
      <c r="B7" s="4" t="inlineStr">
        <is>
          <t>Buyer intent is a planning input, not a rigid page taxonomy. Intent fields marked TBD or Draft require human review before approval.</t>
        </is>
      </c>
    </row>
    <row r="8" ht="42" customHeight="1">
      <c r="A8" s="3" t="inlineStr">
        <is>
          <t>Metadata</t>
        </is>
      </c>
      <c r="B8" s="4" t="inlineStr">
        <is>
          <t>Meta title and description live on the Sitemap row for each page. Character counts use formulas. Strategic pages are populated from the NuVue Meta &amp; Schema Recommendations source; other rows remain blank until researched and reviewed.</t>
        </is>
      </c>
    </row>
    <row r="9" ht="42" customHeight="1">
      <c r="A9" s="3" t="inlineStr">
        <is>
          <t>Schema</t>
        </is>
      </c>
      <c r="B9" s="4" t="inlineStr">
        <is>
          <t>Schema types must match actual page content. A blank schema cell is a content/research gap, not permission for AI to invent eligibility.</t>
        </is>
      </c>
    </row>
    <row r="10" ht="42" customHeight="1">
      <c r="A10" s="3" t="inlineStr">
        <is>
          <t>Redirects</t>
        </is>
      </c>
      <c r="B10" s="4" t="inlineStr">
        <is>
          <t>Redirects are generated from existing vs. proposed URLs where a clear change exists. Retired pages remain unresolved until a human approves the destination.</t>
        </is>
      </c>
    </row>
    <row r="11" ht="42" customHeight="1">
      <c r="A11" s="3" t="inlineStr">
        <is>
          <t>Navigation</t>
        </is>
      </c>
      <c r="B11" s="4" t="inlineStr">
        <is>
          <t>Navigation tab carries the current proposed NuVue navigation context. It is supporting architecture, not a replacement for the Sitemap tab.</t>
        </is>
      </c>
    </row>
    <row r="12" ht="42" customHeight="1">
      <c r="A12" s="3" t="inlineStr">
        <is>
          <t>Approval</t>
        </is>
      </c>
      <c r="B12" s="4" t="inlineStr">
        <is>
          <t>This demo workbook is DRAFT / HUMAN REVIEW. Proposed page, URL, intent, metadata, schema, redirect, or proof decisions do not become implementation requirements until approved.</t>
        </is>
      </c>
    </row>
    <row r="14">
      <c r="A14" s="5" t="inlineStr">
        <is>
          <t>Governing rules</t>
        </is>
      </c>
    </row>
    <row r="15">
      <c r="A15" s="6" t="inlineStr">
        <is>
          <t>SITE_ARCHITECTURE_IS_PAGE_LEVEL_SOURCE_OF_TRUTH</t>
        </is>
      </c>
    </row>
    <row r="16">
      <c r="A16" s="6" t="inlineStr">
        <is>
          <t>BUYER_INTENT → PAGE_JOB → CONTENT_DEPTH → PROOF_NEED → CTA</t>
        </is>
      </c>
    </row>
    <row r="17">
      <c r="A17" s="6" t="inlineStr">
        <is>
          <t>META_AND_SCHEMA_BELONG_WITH_PAGE_ARCHITECTURE</t>
        </is>
      </c>
    </row>
    <row r="18">
      <c r="A18" s="6" t="inlineStr">
        <is>
          <t>SCHEMA_TYPE_MUST_MATCH_ACTUAL_PAGE_CONTENT</t>
        </is>
      </c>
    </row>
    <row r="19">
      <c r="A19" s="6" t="inlineStr">
        <is>
          <t>PROPOSED_PAGE != APPROVED_PAGE</t>
        </is>
      </c>
    </row>
    <row r="20">
      <c r="A20" s="6" t="inlineStr">
        <is>
          <t>PROPOSED_URL != APPROVED_REDIRECT</t>
        </is>
      </c>
    </row>
    <row r="21">
      <c r="A21" s="6" t="inlineStr">
        <is>
          <t>KEYWORD_OR_SEARCH_INTENT != PAGE_PURPOSE</t>
        </is>
      </c>
    </row>
    <row r="22">
      <c r="A22" s="6" t="inlineStr">
        <is>
          <t>ARCHITECTURE_CHANGE_REQUIRES_DOWNSTREAM_IMPACT_REVIEW</t>
        </is>
      </c>
    </row>
  </sheetData>
  <mergeCells count="10">
    <mergeCell ref="A17:D17"/>
    <mergeCell ref="A18:D18"/>
    <mergeCell ref="A22:D22"/>
    <mergeCell ref="A2:H2"/>
    <mergeCell ref="A20:D20"/>
    <mergeCell ref="A21:D21"/>
    <mergeCell ref="A15:D15"/>
    <mergeCell ref="A16:D16"/>
    <mergeCell ref="A1:H1"/>
    <mergeCell ref="A19:D19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03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34" customWidth="1" min="4" max="4"/>
    <col width="32" customWidth="1" min="5" max="5"/>
    <col width="18" customWidth="1" min="6" max="6"/>
    <col width="16" customWidth="1" min="7" max="7"/>
    <col width="20" customWidth="1" min="8" max="8"/>
    <col width="20" customWidth="1" min="9" max="9"/>
    <col width="44" customWidth="1" min="10" max="10"/>
    <col width="24" customWidth="1" min="11" max="11"/>
    <col width="24" customWidth="1" min="12" max="12"/>
    <col width="32" customWidth="1" min="13" max="13"/>
    <col width="44" customWidth="1" min="14" max="14"/>
    <col width="10" customWidth="1" min="15" max="15"/>
    <col width="58" customWidth="1" min="16" max="16"/>
    <col width="10" customWidth="1" min="17" max="17"/>
    <col width="24" customWidth="1" min="18" max="18"/>
    <col width="30" customWidth="1" min="19" max="19"/>
    <col width="30" customWidth="1" min="20" max="20"/>
    <col width="52" customWidth="1" min="21" max="21"/>
    <col width="34" customWidth="1" min="22" max="22"/>
    <col width="34" customWidth="1" min="23" max="23"/>
    <col width="22" customWidth="1" min="24" max="24"/>
    <col width="58" customWidth="1" min="25" max="25"/>
    <col width="20" customWidth="1" min="26" max="26"/>
    <col width="24" customWidth="1" min="27" max="27"/>
  </cols>
  <sheetData>
    <row r="1" ht="30" customHeight="1">
      <c r="A1" s="1" t="inlineStr">
        <is>
          <t>Sitemap</t>
        </is>
      </c>
    </row>
    <row r="2" ht="34" customHeight="1">
      <c r="A2" s="2" t="inlineStr">
        <is>
          <t>Full page inventory. This tab is the page-level source of truth for architecture, buyer intent, URL, metadata, schema, dependencies, and measurement.</t>
        </is>
      </c>
    </row>
    <row r="4" ht="34" customHeight="1">
      <c r="A4" s="7" t="inlineStr">
        <is>
          <t>Page ID</t>
        </is>
      </c>
      <c r="B4" s="7" t="inlineStr">
        <is>
          <t>Level</t>
        </is>
      </c>
      <c r="C4" s="7" t="inlineStr">
        <is>
          <t>Section</t>
        </is>
      </c>
      <c r="D4" s="7" t="inlineStr">
        <is>
          <t>Page</t>
        </is>
      </c>
      <c r="E4" s="7" t="inlineStr">
        <is>
          <t>Existing URL</t>
        </is>
      </c>
      <c r="F4" s="7" t="inlineStr">
        <is>
          <t>Nav Location</t>
        </is>
      </c>
      <c r="G4" s="7" t="inlineStr">
        <is>
          <t>Scope / Status</t>
        </is>
      </c>
      <c r="H4" s="7" t="inlineStr">
        <is>
          <t>Primary Buyer Intent</t>
        </is>
      </c>
      <c r="I4" s="7" t="inlineStr">
        <is>
          <t>Secondary Buyer Intent</t>
        </is>
      </c>
      <c r="J4" s="7" t="inlineStr">
        <is>
          <t>Page Objective</t>
        </is>
      </c>
      <c r="K4" s="7" t="inlineStr">
        <is>
          <t>Primary CTA</t>
        </is>
      </c>
      <c r="L4" s="7" t="inlineStr">
        <is>
          <t>Secondary CTA</t>
        </is>
      </c>
      <c r="M4" s="7" t="inlineStr">
        <is>
          <t>Proposed URL</t>
        </is>
      </c>
      <c r="N4" s="7" t="inlineStr">
        <is>
          <t>Meta Title</t>
        </is>
      </c>
      <c r="O4" s="7" t="inlineStr">
        <is>
          <t>Title Chars</t>
        </is>
      </c>
      <c r="P4" s="7" t="inlineStr">
        <is>
          <t>Meta Description</t>
        </is>
      </c>
      <c r="Q4" s="7" t="inlineStr">
        <is>
          <t>Desc Chars</t>
        </is>
      </c>
      <c r="R4" s="7" t="inlineStr">
        <is>
          <t>Primary Search Intent</t>
        </is>
      </c>
      <c r="S4" s="7" t="inlineStr">
        <is>
          <t>Target Topic</t>
        </is>
      </c>
      <c r="T4" s="7" t="inlineStr">
        <is>
          <t>Schema Type(s)</t>
        </is>
      </c>
      <c r="U4" s="7" t="inlineStr">
        <is>
          <t>Key Schema Properties</t>
        </is>
      </c>
      <c r="V4" s="7" t="inlineStr">
        <is>
          <t>Proof / Content Dependencies</t>
        </is>
      </c>
      <c r="W4" s="7" t="inlineStr">
        <is>
          <t>Measurement</t>
        </is>
      </c>
      <c r="X4" s="7" t="inlineStr">
        <is>
          <t>Redirect Requirement</t>
        </is>
      </c>
      <c r="Y4" s="7" t="inlineStr">
        <is>
          <t>Source Notes / Rationale</t>
        </is>
      </c>
      <c r="Z4" s="7" t="inlineStr">
        <is>
          <t>Approval Status</t>
        </is>
      </c>
      <c r="AA4" s="7" t="inlineStr">
        <is>
          <t>Review Flag</t>
        </is>
      </c>
    </row>
    <row r="5">
      <c r="A5" s="8" t="inlineStr">
        <is>
          <t>NUV-P001</t>
        </is>
      </c>
      <c r="B5" s="9" t="inlineStr">
        <is>
          <t>L1</t>
        </is>
      </c>
      <c r="C5" s="9" t="inlineStr">
        <is>
          <t>Homepage</t>
        </is>
      </c>
      <c r="D5" s="9" t="inlineStr">
        <is>
          <t>Homepage</t>
        </is>
      </c>
      <c r="E5" s="9" t="inlineStr">
        <is>
          <t>/</t>
        </is>
      </c>
      <c r="F5" s="8" t="inlineStr">
        <is>
          <t>Architecture L1</t>
        </is>
      </c>
      <c r="G5" s="9" t="inlineStr">
        <is>
          <t>ENHANCED</t>
        </is>
      </c>
      <c r="H5" s="10" t="inlineStr">
        <is>
          <t>Solution Aware</t>
        </is>
      </c>
      <c r="I5" s="10" t="inlineStr">
        <is>
          <t>Problem Aware / Product Aware</t>
        </is>
      </c>
      <c r="J5" s="10" t="inlineStr">
        <is>
          <t>Establish relevance, route corporate and individual buyers, communicate the three-pillar offer, surface proof, and create appropriate next actions.</t>
        </is>
      </c>
      <c r="K5" s="10" t="inlineStr">
        <is>
          <t>Request a Consultation</t>
        </is>
      </c>
      <c r="L5" s="10" t="inlineStr">
        <is>
          <t>Take the Self-Assessment / For Myself</t>
        </is>
      </c>
      <c r="M5" s="8" t="inlineStr">
        <is>
          <t>/</t>
        </is>
      </c>
      <c r="N5" s="9" t="inlineStr">
        <is>
          <t>Sales Training That Guarantees Results | NuVue</t>
        </is>
      </c>
      <c r="O5" s="8">
        <f>IF(N5="","",LEN(N5))</f>
        <v/>
      </c>
      <c r="P5" s="9" t="inlineStr">
        <is>
          <t>NuVue builds high-performing sales teams with the Counselor Salesperson method and a pay-for-performance guarantee. 24+ years of measurable revenue gains.</t>
        </is>
      </c>
      <c r="Q5" s="8">
        <f>IF(P5="","",LEN(P5))</f>
        <v/>
      </c>
      <c r="R5" s="10" t="inlineStr"/>
      <c r="S5" s="10" t="inlineStr">
        <is>
          <t>Sales Training That Guarantees Results</t>
        </is>
      </c>
      <c r="T5" s="9" t="inlineStr">
        <is>
          <t>Organization, WebSite</t>
        </is>
      </c>
      <c r="U5" s="9" t="inlineStr">
        <is>
          <t>Organization: name, url, logo, description, sameAs, foundingDate (2002), contactPoint. WebSite: url, potentialAction (SearchAction).</t>
        </is>
      </c>
      <c r="V5" s="10" t="inlineStr">
        <is>
          <t>See source notes / approved proof library where applicable</t>
        </is>
      </c>
      <c r="W5" s="10" t="inlineStr">
        <is>
          <t>Buyer-path clicks; consultation starts/completions; assessment starts/completions; seminar-path clicks</t>
        </is>
      </c>
      <c r="X5" s="8" t="inlineStr">
        <is>
          <t>NO</t>
        </is>
      </c>
      <c r="Y5" s="9" t="inlineStr">
        <is>
          <t>Hero with universal pain point, dual buyer path buttons, trust bar, self-assessment quiz CTA | Sitewide Organization + WebSite belong here in the &lt;head&gt;. Anchors brand entity for AI search.</t>
        </is>
      </c>
      <c r="Z5" s="10" t="inlineStr">
        <is>
          <t>DRAFT — HUMAN REVIEW</t>
        </is>
      </c>
      <c r="AA5" s="10" t="inlineStr"/>
    </row>
    <row r="6">
      <c r="A6" s="8" t="inlineStr">
        <is>
          <t>NUV-P002</t>
        </is>
      </c>
      <c r="B6" s="9" t="inlineStr">
        <is>
          <t>L1</t>
        </is>
      </c>
      <c r="C6" s="9" t="inlineStr">
        <is>
          <t>Homepage</t>
        </is>
      </c>
      <c r="D6" s="9" t="inlineStr">
        <is>
          <t>For Organizations</t>
        </is>
      </c>
      <c r="E6" s="9" t="inlineStr"/>
      <c r="F6" s="8" t="inlineStr">
        <is>
          <t>Architecture L1</t>
        </is>
      </c>
      <c r="G6" s="11" t="inlineStr">
        <is>
          <t>NEW</t>
        </is>
      </c>
      <c r="H6" s="10" t="inlineStr">
        <is>
          <t>Product Aware</t>
        </is>
      </c>
      <c r="I6" s="10" t="inlineStr">
        <is>
          <t>Solution Aware</t>
        </is>
      </c>
      <c r="J6" s="10" t="inlineStr">
        <is>
          <t>Help enterprise buyers evaluate NuVue as a development partner and progress toward a qualified consultation.</t>
        </is>
      </c>
      <c r="K6" s="10" t="inlineStr">
        <is>
          <t>Request a Consultation</t>
        </is>
      </c>
      <c r="L6" s="10" t="inlineStr">
        <is>
          <t>Explore Solutions</t>
        </is>
      </c>
      <c r="M6" s="8" t="inlineStr">
        <is>
          <t>/solutions-for-organizations/</t>
        </is>
      </c>
      <c r="N6" s="9" t="inlineStr">
        <is>
          <t>Sales Training for Teams &amp; Organizations | NuVue</t>
        </is>
      </c>
      <c r="O6" s="8">
        <f>IF(N6="","",LEN(N6))</f>
        <v/>
      </c>
      <c r="P6" s="9" t="inlineStr">
        <is>
          <t>Equip your sales force with proven training built for 50+ rep teams. Multi-year curricula, measurable ROI, and a results guarantee. Request a consultation.</t>
        </is>
      </c>
      <c r="Q6" s="8">
        <f>IF(P6="","",LEN(P6))</f>
        <v/>
      </c>
      <c r="R6" s="10" t="inlineStr"/>
      <c r="S6" s="10" t="inlineStr">
        <is>
          <t>Sales Training for Teams &amp; Organizations</t>
        </is>
      </c>
      <c r="T6" s="9" t="inlineStr">
        <is>
          <t>Service, BreadcrumbList</t>
        </is>
      </c>
      <c r="U6" s="9" t="inlineStr">
        <is>
          <t>Service: serviceType, provider (Organization), areaServed, audience (BusinessAudience: numberOfEmployees 50+), offers. Add BreadcrumbList.</t>
        </is>
      </c>
      <c r="V6" s="10" t="inlineStr">
        <is>
          <t>See source notes / approved proof library where applicable</t>
        </is>
      </c>
      <c r="W6" s="10" t="inlineStr">
        <is>
          <t>Consultation starts/completions; solution clicks; proof engagement</t>
        </is>
      </c>
      <c r="X6" s="8" t="inlineStr">
        <is>
          <t>NO — new URL</t>
        </is>
      </c>
      <c r="Y6" s="9" t="inlineStr">
        <is>
          <t>Corporate buyer landing — VP Sales, L&amp;D Directors → Request a Consultation | Primary corporate buyer path. CTA: Request a Consultation.</t>
        </is>
      </c>
      <c r="Z6" s="10" t="inlineStr">
        <is>
          <t>DRAFT — HUMAN REVIEW</t>
        </is>
      </c>
      <c r="AA6" s="10" t="inlineStr"/>
    </row>
    <row r="7">
      <c r="A7" s="8" t="inlineStr">
        <is>
          <t>NUV-P003</t>
        </is>
      </c>
      <c r="B7" s="9" t="inlineStr">
        <is>
          <t>L1</t>
        </is>
      </c>
      <c r="C7" s="9" t="inlineStr">
        <is>
          <t>Homepage</t>
        </is>
      </c>
      <c r="D7" s="9" t="inlineStr">
        <is>
          <t>For Sales Professionals</t>
        </is>
      </c>
      <c r="E7" s="9" t="inlineStr"/>
      <c r="F7" s="8" t="inlineStr">
        <is>
          <t>Architecture L1</t>
        </is>
      </c>
      <c r="G7" s="11" t="inlineStr">
        <is>
          <t>NEW</t>
        </is>
      </c>
      <c r="H7" s="10" t="inlineStr">
        <is>
          <t>Product Aware / Most Aware</t>
        </is>
      </c>
      <c r="I7" s="10" t="inlineStr">
        <is>
          <t>Solution Aware</t>
        </is>
      </c>
      <c r="J7" s="10" t="inlineStr">
        <is>
          <t>Help individual professionals identify the right training path and progress toward seminar or program action.</t>
        </is>
      </c>
      <c r="K7" s="10" t="inlineStr">
        <is>
          <t>Explore / Register for Public Seminars</t>
        </is>
      </c>
      <c r="L7" s="10" t="inlineStr">
        <is>
          <t>Take the Self-Assessment</t>
        </is>
      </c>
      <c r="M7" s="8" t="inlineStr">
        <is>
          <t>/solutions-for-professionals/</t>
        </is>
      </c>
      <c r="N7" s="9" t="inlineStr">
        <is>
          <t>Sales Training for Professionals | NuVue</t>
        </is>
      </c>
      <c r="O7" s="8">
        <f>IF(N7="","",LEN(N7))</f>
        <v/>
      </c>
      <c r="P7" s="9" t="inlineStr">
        <is>
          <t>Sharpen your selling skills with public seminars, self-paced courses, and continuous learning. Practical sales training for new and experienced reps.</t>
        </is>
      </c>
      <c r="Q7" s="8">
        <f>IF(P7="","",LEN(P7))</f>
        <v/>
      </c>
      <c r="R7" s="10" t="inlineStr"/>
      <c r="S7" s="10" t="inlineStr">
        <is>
          <t>Sales Training for Professionals</t>
        </is>
      </c>
      <c r="T7" s="9" t="inlineStr">
        <is>
          <t>Service, BreadcrumbList</t>
        </is>
      </c>
      <c r="U7" s="9" t="inlineStr">
        <is>
          <t>Service: serviceType, provider, audience (Audience: sales professionals), offers (public seminars). Add BreadcrumbList.</t>
        </is>
      </c>
      <c r="V7" s="10" t="inlineStr">
        <is>
          <t>See source notes / approved proof library where applicable</t>
        </is>
      </c>
      <c r="W7" s="10" t="inlineStr">
        <is>
          <t>Seminar-path clicks; registration starts/completions; assessment activity</t>
        </is>
      </c>
      <c r="X7" s="8" t="inlineStr">
        <is>
          <t>NO — new URL</t>
        </is>
      </c>
      <c r="Y7" s="9" t="inlineStr">
        <is>
          <t>Individual buyer landing — seminars, self-paced, assessment, LTNS membership | Individual buyer path. Growth channel for self-directed buyers.</t>
        </is>
      </c>
      <c r="Z7" s="10" t="inlineStr">
        <is>
          <t>DRAFT — HUMAN REVIEW</t>
        </is>
      </c>
      <c r="AA7" s="10" t="inlineStr"/>
    </row>
    <row r="8">
      <c r="A8" s="8" t="inlineStr">
        <is>
          <t>NUV-P004</t>
        </is>
      </c>
      <c r="B8" s="9" t="inlineStr">
        <is>
          <t>L1</t>
        </is>
      </c>
      <c r="C8" s="9" t="inlineStr">
        <is>
          <t>Offerings</t>
        </is>
      </c>
      <c r="D8" s="9" t="inlineStr">
        <is>
          <t>Curriculum Overview</t>
        </is>
      </c>
      <c r="E8" s="9" t="inlineStr">
        <is>
          <t>/solutions/</t>
        </is>
      </c>
      <c r="F8" s="8" t="inlineStr">
        <is>
          <t>Architecture L1</t>
        </is>
      </c>
      <c r="G8" s="11" t="inlineStr">
        <is>
          <t>RESTRUCTURED</t>
        </is>
      </c>
      <c r="H8" s="10" t="inlineStr">
        <is>
          <t>Solution Aware</t>
        </is>
      </c>
      <c r="I8" s="10" t="inlineStr">
        <is>
          <t>Product Aware</t>
        </is>
      </c>
      <c r="J8" s="10" t="inlineStr">
        <is>
          <t>3-pillar landing page replacing deep nested menus</t>
        </is>
      </c>
      <c r="K8" s="10" t="inlineStr">
        <is>
          <t>Explore Relevant Solution</t>
        </is>
      </c>
      <c r="L8" s="10" t="inlineStr">
        <is>
          <t>Request a Consultation</t>
        </is>
      </c>
      <c r="M8" s="8" t="inlineStr">
        <is>
          <t>/curriculum/</t>
        </is>
      </c>
      <c r="N8" s="9" t="inlineStr">
        <is>
          <t>Sales &amp; Leadership Training Curriculum | NuVue</t>
        </is>
      </c>
      <c r="O8" s="8">
        <f>IF(N8="","",LEN(N8))</f>
        <v/>
      </c>
      <c r="P8" s="9" t="inlineStr">
        <is>
          <t>Explore NuVue's full curriculum across sales, leadership, and business acumen. Filter 100+ workshops by topic, format, and level to build your program.</t>
        </is>
      </c>
      <c r="Q8" s="8">
        <f>IF(P8="","",LEN(P8))</f>
        <v/>
      </c>
      <c r="R8" s="10" t="inlineStr"/>
      <c r="S8" s="10" t="inlineStr">
        <is>
          <t>Sales &amp; Leadership Training Curriculum</t>
        </is>
      </c>
      <c r="T8" s="9" t="inlineStr">
        <is>
          <t>CollectionPage, BreadcrumbList</t>
        </is>
      </c>
      <c r="U8" s="9" t="inlineStr">
        <is>
          <t>CollectionPage: name, description, isPartOf. Add ItemList of the three pillar pages (Sales, Leadership, Business Acumen). BreadcrumbList.</t>
        </is>
      </c>
      <c r="V8" s="10" t="inlineStr">
        <is>
          <t>See source notes / approved proof library where applicable</t>
        </is>
      </c>
      <c r="W8" s="10" t="inlineStr"/>
      <c r="X8" s="8" t="inlineStr">
        <is>
          <t>YES — 301</t>
        </is>
      </c>
      <c r="Y8" s="9" t="inlineStr">
        <is>
          <t>3-pillar landing page replacing deep nested menus | Three-pillar hub replacing nested menus.</t>
        </is>
      </c>
      <c r="Z8" s="10" t="inlineStr">
        <is>
          <t>DRAFT — HUMAN REVIEW</t>
        </is>
      </c>
      <c r="AA8" s="10" t="inlineStr"/>
    </row>
    <row r="9">
      <c r="A9" s="8" t="inlineStr">
        <is>
          <t>NUV-P005</t>
        </is>
      </c>
      <c r="B9" s="9" t="inlineStr">
        <is>
          <t>L2</t>
        </is>
      </c>
      <c r="C9" s="9" t="inlineStr">
        <is>
          <t>Offerings</t>
        </is>
      </c>
      <c r="D9" s="9" t="inlineStr">
        <is>
          <t>Sales (Pillar)</t>
        </is>
      </c>
      <c r="E9" s="9" t="inlineStr">
        <is>
          <t>/solutions/sales-enablement/</t>
        </is>
      </c>
      <c r="F9" s="8" t="inlineStr">
        <is>
          <t>Architecture L2</t>
        </is>
      </c>
      <c r="G9" s="11" t="inlineStr">
        <is>
          <t>RESTRUCTURED</t>
        </is>
      </c>
      <c r="H9" s="10" t="inlineStr">
        <is>
          <t>Solution Aware</t>
        </is>
      </c>
      <c r="I9" s="10" t="inlineStr">
        <is>
          <t>Product Aware</t>
        </is>
      </c>
      <c r="J9" s="10" t="inlineStr">
        <is>
          <t>Pillar landing page - Sales Curriculum</t>
        </is>
      </c>
      <c r="K9" s="10" t="inlineStr">
        <is>
          <t>Explore Relevant Solution</t>
        </is>
      </c>
      <c r="L9" s="10" t="inlineStr">
        <is>
          <t>Request a Consultation</t>
        </is>
      </c>
      <c r="M9" s="8" t="inlineStr">
        <is>
          <t>/curriculum/sales/</t>
        </is>
      </c>
      <c r="N9" s="9" t="inlineStr">
        <is>
          <t>Sales Development Training Programs | NuVue</t>
        </is>
      </c>
      <c r="O9" s="8">
        <f>IF(N9="","",LEN(N9))</f>
        <v/>
      </c>
      <c r="P9" s="9" t="inlineStr">
        <is>
          <t>Consultative selling, prospecting, negotiation, and more. NuVue's sales development workshops turn reps into trusted advisors who grow revenue.</t>
        </is>
      </c>
      <c r="Q9" s="8">
        <f>IF(P9="","",LEN(P9))</f>
        <v/>
      </c>
      <c r="R9" s="10" t="inlineStr"/>
      <c r="S9" s="10" t="inlineStr">
        <is>
          <t>Sales Development Training Programs</t>
        </is>
      </c>
      <c r="T9" s="9" t="inlineStr">
        <is>
          <t>CollectionPage, BreadcrumbList</t>
        </is>
      </c>
      <c r="U9" s="9" t="inlineStr">
        <is>
          <t>CollectionPage with ItemList of Course items (each program). hasPart linking to course pages. BreadcrumbList.</t>
        </is>
      </c>
      <c r="V9" s="10" t="inlineStr">
        <is>
          <t>See source notes / approved proof library where applicable</t>
        </is>
      </c>
      <c r="W9" s="10" t="inlineStr"/>
      <c r="X9" s="8" t="inlineStr">
        <is>
          <t>YES — 301</t>
        </is>
      </c>
      <c r="Y9" s="9" t="inlineStr">
        <is>
          <t>Pillar landing page - Sales Curriculum | Pillar landing. Flagship is Counselor Salesperson.</t>
        </is>
      </c>
      <c r="Z9" s="10" t="inlineStr">
        <is>
          <t>DRAFT — HUMAN REVIEW</t>
        </is>
      </c>
      <c r="AA9" s="10" t="inlineStr"/>
    </row>
    <row r="10">
      <c r="A10" s="8" t="inlineStr">
        <is>
          <t>NUV-P006</t>
        </is>
      </c>
      <c r="B10" s="9" t="inlineStr">
        <is>
          <t>L3</t>
        </is>
      </c>
      <c r="C10" s="9" t="inlineStr">
        <is>
          <t>Offerings</t>
        </is>
      </c>
      <c r="D10" s="9" t="inlineStr">
        <is>
          <t>Counselor Salesperson (CSP)</t>
        </is>
      </c>
      <c r="E10" s="9" t="inlineStr">
        <is>
          <t>/solutions/sales-enablement/counselor-salesperson/</t>
        </is>
      </c>
      <c r="F10" s="8" t="inlineStr">
        <is>
          <t>Architecture L3</t>
        </is>
      </c>
      <c r="G10" s="9" t="inlineStr">
        <is>
          <t>ENHANCED</t>
        </is>
      </c>
      <c r="H10" s="10" t="inlineStr">
        <is>
          <t>Product Aware</t>
        </is>
      </c>
      <c r="I10" s="10" t="inlineStr">
        <is>
          <t>Solution Aware</t>
        </is>
      </c>
      <c r="J10" s="10" t="inlineStr">
        <is>
          <t>Core methodology page — consultative selling approach, enhanced messaging</t>
        </is>
      </c>
      <c r="K10" s="10" t="inlineStr"/>
      <c r="L10" s="10" t="inlineStr"/>
      <c r="M10" s="8" t="inlineStr">
        <is>
          <t>/curriculum/sales/counselor-salesperson/</t>
        </is>
      </c>
      <c r="N10" s="9" t="inlineStr">
        <is>
          <t>Counselor Salesperson (CSP) Training | NuVue</t>
        </is>
      </c>
      <c r="O10" s="8">
        <f>IF(N10="","",LEN(N10))</f>
        <v/>
      </c>
      <c r="P10" s="9" t="inlineStr">
        <is>
          <t>The flagship consultative selling method behind $400K average revenue gains per rep. Learn the Counselor Salesperson approach trusted for decades.</t>
        </is>
      </c>
      <c r="Q10" s="8">
        <f>IF(P10="","",LEN(P10))</f>
        <v/>
      </c>
      <c r="R10" s="10" t="inlineStr"/>
      <c r="S10" s="10" t="inlineStr">
        <is>
          <t>Counselor Salesperson (CSP) Training</t>
        </is>
      </c>
      <c r="T10" s="9" t="inlineStr">
        <is>
          <t>Course, BreadcrumbList</t>
        </is>
      </c>
      <c r="U10" s="9" t="inlineStr">
        <is>
          <t>Course: name, description, provider, educationalLevel, hasCourseInstance (courseMode: onsite, online, blended; courseWorkload). Optional offers. BreadcrumbList.</t>
        </is>
      </c>
      <c r="V10" s="10" t="inlineStr">
        <is>
          <t>See source notes / approved proof library where applicable</t>
        </is>
      </c>
      <c r="W10" s="10" t="inlineStr"/>
      <c r="X10" s="8" t="inlineStr">
        <is>
          <t>YES — 301</t>
        </is>
      </c>
      <c r="Y10" s="9" t="inlineStr">
        <is>
          <t>Core methodology page — consultative selling approach, enhanced messaging | Flagship program. Tie to CSP Guarantee + Ag Edition.</t>
        </is>
      </c>
      <c r="Z10" s="10" t="inlineStr">
        <is>
          <t>DRAFT — HUMAN REVIEW</t>
        </is>
      </c>
      <c r="AA10" s="10" t="inlineStr"/>
    </row>
    <row r="11">
      <c r="A11" s="8" t="inlineStr">
        <is>
          <t>NUV-P007</t>
        </is>
      </c>
      <c r="B11" s="9" t="inlineStr">
        <is>
          <t>L3</t>
        </is>
      </c>
      <c r="C11" s="9" t="inlineStr">
        <is>
          <t>Offerings</t>
        </is>
      </c>
      <c r="D11" s="9" t="inlineStr">
        <is>
          <t>Counselor Prospecting</t>
        </is>
      </c>
      <c r="E11" s="9" t="inlineStr">
        <is>
          <t>/solutions/sales-enablement/counselor-prospecting/</t>
        </is>
      </c>
      <c r="F11" s="8" t="inlineStr">
        <is>
          <t>Architecture L3</t>
        </is>
      </c>
      <c r="G11" s="9" t="inlineStr">
        <is>
          <t>EXISTS</t>
        </is>
      </c>
      <c r="H11" s="10" t="inlineStr">
        <is>
          <t>Product Aware</t>
        </is>
      </c>
      <c r="I11" s="10" t="inlineStr">
        <is>
          <t>Solution Aware</t>
        </is>
      </c>
      <c r="J11" s="10" t="inlineStr">
        <is>
          <t>Existing program, new URL path</t>
        </is>
      </c>
      <c r="K11" s="10" t="inlineStr"/>
      <c r="L11" s="10" t="inlineStr"/>
      <c r="M11" s="8" t="inlineStr">
        <is>
          <t>/curriculum/sales/counselor-prospecting/</t>
        </is>
      </c>
      <c r="N11" s="8" t="inlineStr"/>
      <c r="O11" s="8">
        <f>IF(N11="","",LEN(N11))</f>
        <v/>
      </c>
      <c r="P11" s="8" t="inlineStr"/>
      <c r="Q11" s="8">
        <f>IF(P11="","",LEN(P11))</f>
        <v/>
      </c>
      <c r="R11" s="10" t="inlineStr"/>
      <c r="S11" s="10" t="inlineStr"/>
      <c r="T11" s="8" t="inlineStr"/>
      <c r="U11" s="8" t="inlineStr"/>
      <c r="V11" s="10" t="inlineStr">
        <is>
          <t>See source notes / approved proof library where applicable</t>
        </is>
      </c>
      <c r="W11" s="10" t="inlineStr"/>
      <c r="X11" s="8" t="inlineStr">
        <is>
          <t>YES — 301</t>
        </is>
      </c>
      <c r="Y11" s="9" t="inlineStr">
        <is>
          <t>Existing program, new URL path</t>
        </is>
      </c>
      <c r="Z11" s="10" t="inlineStr">
        <is>
          <t>DRAFT — HUMAN REVIEW</t>
        </is>
      </c>
      <c r="AA11" s="12" t="inlineStr">
        <is>
          <t>Metadata, Schema</t>
        </is>
      </c>
    </row>
    <row r="12">
      <c r="A12" s="8" t="inlineStr">
        <is>
          <t>NUV-P008</t>
        </is>
      </c>
      <c r="B12" s="9" t="inlineStr">
        <is>
          <t>L3</t>
        </is>
      </c>
      <c r="C12" s="9" t="inlineStr">
        <is>
          <t>Offerings</t>
        </is>
      </c>
      <c r="D12" s="9" t="inlineStr">
        <is>
          <t>Selling in a Virtual Environment</t>
        </is>
      </c>
      <c r="E12" s="9" t="inlineStr">
        <is>
          <t>/solutions/sales-enablement/selling-in-a-virtual-environment/</t>
        </is>
      </c>
      <c r="F12" s="8" t="inlineStr">
        <is>
          <t>Architecture L3</t>
        </is>
      </c>
      <c r="G12" s="9" t="inlineStr">
        <is>
          <t>EXISTS</t>
        </is>
      </c>
      <c r="H12" s="10" t="inlineStr">
        <is>
          <t>Product Aware</t>
        </is>
      </c>
      <c r="I12" s="10" t="inlineStr">
        <is>
          <t>Solution Aware</t>
        </is>
      </c>
      <c r="J12" s="10" t="inlineStr"/>
      <c r="K12" s="10" t="inlineStr"/>
      <c r="L12" s="10" t="inlineStr"/>
      <c r="M12" s="8" t="inlineStr">
        <is>
          <t>/curriculum/sales/selling-in-a-virtual-environment/</t>
        </is>
      </c>
      <c r="N12" s="8" t="inlineStr"/>
      <c r="O12" s="8">
        <f>IF(N12="","",LEN(N12))</f>
        <v/>
      </c>
      <c r="P12" s="8" t="inlineStr"/>
      <c r="Q12" s="8">
        <f>IF(P12="","",LEN(P12))</f>
        <v/>
      </c>
      <c r="R12" s="10" t="inlineStr"/>
      <c r="S12" s="10" t="inlineStr"/>
      <c r="T12" s="8" t="inlineStr"/>
      <c r="U12" s="8" t="inlineStr"/>
      <c r="V12" s="10" t="inlineStr">
        <is>
          <t>See source notes / approved proof library where applicable</t>
        </is>
      </c>
      <c r="W12" s="10" t="inlineStr"/>
      <c r="X12" s="8" t="inlineStr">
        <is>
          <t>YES — 301</t>
        </is>
      </c>
      <c r="Y12" s="9" t="inlineStr"/>
      <c r="Z12" s="10" t="inlineStr">
        <is>
          <t>DRAFT — HUMAN REVIEW</t>
        </is>
      </c>
      <c r="AA12" s="12" t="inlineStr">
        <is>
          <t>Page objective, Metadata, Schema</t>
        </is>
      </c>
    </row>
    <row r="13">
      <c r="A13" s="8" t="inlineStr">
        <is>
          <t>NUV-P009</t>
        </is>
      </c>
      <c r="B13" s="9" t="inlineStr">
        <is>
          <t>L3</t>
        </is>
      </c>
      <c r="C13" s="9" t="inlineStr">
        <is>
          <t>Offerings</t>
        </is>
      </c>
      <c r="D13" s="9" t="inlineStr">
        <is>
          <t>Mastering Successful Presentations</t>
        </is>
      </c>
      <c r="E13" s="9" t="inlineStr">
        <is>
          <t>/solutions/sales-enablement/mastering-successful-presentations-skills-for-influencing-outcomes/</t>
        </is>
      </c>
      <c r="F13" s="8" t="inlineStr">
        <is>
          <t>Architecture L3</t>
        </is>
      </c>
      <c r="G13" s="9" t="inlineStr">
        <is>
          <t>EXISTS</t>
        </is>
      </c>
      <c r="H13" s="10" t="inlineStr">
        <is>
          <t>Product Aware</t>
        </is>
      </c>
      <c r="I13" s="10" t="inlineStr">
        <is>
          <t>Solution Aware</t>
        </is>
      </c>
      <c r="J13" s="10" t="inlineStr">
        <is>
          <t>Existing program, shortened URL</t>
        </is>
      </c>
      <c r="K13" s="10" t="inlineStr"/>
      <c r="L13" s="10" t="inlineStr"/>
      <c r="M13" s="8" t="inlineStr">
        <is>
          <t>/curriculum/sales/presentations/</t>
        </is>
      </c>
      <c r="N13" s="8" t="inlineStr"/>
      <c r="O13" s="8">
        <f>IF(N13="","",LEN(N13))</f>
        <v/>
      </c>
      <c r="P13" s="8" t="inlineStr"/>
      <c r="Q13" s="8">
        <f>IF(P13="","",LEN(P13))</f>
        <v/>
      </c>
      <c r="R13" s="10" t="inlineStr"/>
      <c r="S13" s="10" t="inlineStr"/>
      <c r="T13" s="8" t="inlineStr"/>
      <c r="U13" s="8" t="inlineStr"/>
      <c r="V13" s="10" t="inlineStr">
        <is>
          <t>See source notes / approved proof library where applicable</t>
        </is>
      </c>
      <c r="W13" s="10" t="inlineStr"/>
      <c r="X13" s="8" t="inlineStr">
        <is>
          <t>YES — 301</t>
        </is>
      </c>
      <c r="Y13" s="9" t="inlineStr">
        <is>
          <t>Existing program, shortened URL</t>
        </is>
      </c>
      <c r="Z13" s="10" t="inlineStr">
        <is>
          <t>DRAFT — HUMAN REVIEW</t>
        </is>
      </c>
      <c r="AA13" s="12" t="inlineStr">
        <is>
          <t>Metadata, Schema</t>
        </is>
      </c>
    </row>
    <row r="14">
      <c r="A14" s="8" t="inlineStr">
        <is>
          <t>NUV-P010</t>
        </is>
      </c>
      <c r="B14" s="9" t="inlineStr">
        <is>
          <t>L3</t>
        </is>
      </c>
      <c r="C14" s="9" t="inlineStr">
        <is>
          <t>Offerings</t>
        </is>
      </c>
      <c r="D14" s="9" t="inlineStr">
        <is>
          <t>Versatile Salesperson</t>
        </is>
      </c>
      <c r="E14" s="9" t="inlineStr">
        <is>
          <t>/solutions/sales-enablement/versatile-salesperson/</t>
        </is>
      </c>
      <c r="F14" s="8" t="inlineStr">
        <is>
          <t>Architecture L3</t>
        </is>
      </c>
      <c r="G14" s="9" t="inlineStr">
        <is>
          <t>EXISTS</t>
        </is>
      </c>
      <c r="H14" s="10" t="inlineStr">
        <is>
          <t>Product Aware</t>
        </is>
      </c>
      <c r="I14" s="10" t="inlineStr">
        <is>
          <t>Solution Aware</t>
        </is>
      </c>
      <c r="J14" s="10" t="inlineStr">
        <is>
          <t>Existing program, new URL path</t>
        </is>
      </c>
      <c r="K14" s="10" t="inlineStr"/>
      <c r="L14" s="10" t="inlineStr"/>
      <c r="M14" s="8" t="inlineStr">
        <is>
          <t>/curriculum/sales/versatile-salesperson/</t>
        </is>
      </c>
      <c r="N14" s="8" t="inlineStr"/>
      <c r="O14" s="8">
        <f>IF(N14="","",LEN(N14))</f>
        <v/>
      </c>
      <c r="P14" s="8" t="inlineStr"/>
      <c r="Q14" s="8">
        <f>IF(P14="","",LEN(P14))</f>
        <v/>
      </c>
      <c r="R14" s="10" t="inlineStr"/>
      <c r="S14" s="10" t="inlineStr"/>
      <c r="T14" s="8" t="inlineStr"/>
      <c r="U14" s="8" t="inlineStr"/>
      <c r="V14" s="10" t="inlineStr">
        <is>
          <t>See source notes / approved proof library where applicable</t>
        </is>
      </c>
      <c r="W14" s="10" t="inlineStr"/>
      <c r="X14" s="8" t="inlineStr">
        <is>
          <t>YES — 301</t>
        </is>
      </c>
      <c r="Y14" s="9" t="inlineStr">
        <is>
          <t>Existing program, new URL path</t>
        </is>
      </c>
      <c r="Z14" s="10" t="inlineStr">
        <is>
          <t>DRAFT — HUMAN REVIEW</t>
        </is>
      </c>
      <c r="AA14" s="12" t="inlineStr">
        <is>
          <t>Metadata, Schema</t>
        </is>
      </c>
    </row>
    <row r="15">
      <c r="A15" s="8" t="inlineStr">
        <is>
          <t>NUV-P011</t>
        </is>
      </c>
      <c r="B15" s="9" t="inlineStr">
        <is>
          <t>L3</t>
        </is>
      </c>
      <c r="C15" s="9" t="inlineStr">
        <is>
          <t>Offerings</t>
        </is>
      </c>
      <c r="D15" s="9" t="inlineStr">
        <is>
          <t>Selling to the Generations</t>
        </is>
      </c>
      <c r="E15" s="9" t="inlineStr">
        <is>
          <t>/solutions/sales-enablement/selling-to-the-generations/</t>
        </is>
      </c>
      <c r="F15" s="8" t="inlineStr">
        <is>
          <t>Architecture L3</t>
        </is>
      </c>
      <c r="G15" s="9" t="inlineStr">
        <is>
          <t>EXISTS</t>
        </is>
      </c>
      <c r="H15" s="10" t="inlineStr">
        <is>
          <t>Product Aware</t>
        </is>
      </c>
      <c r="I15" s="10" t="inlineStr">
        <is>
          <t>Solution Aware</t>
        </is>
      </c>
      <c r="J15" s="10" t="inlineStr">
        <is>
          <t>Existing program, new URL path</t>
        </is>
      </c>
      <c r="K15" s="10" t="inlineStr"/>
      <c r="L15" s="10" t="inlineStr"/>
      <c r="M15" s="8" t="inlineStr">
        <is>
          <t>/curriculum/sales/selling-to-the-generations/</t>
        </is>
      </c>
      <c r="N15" s="8" t="inlineStr"/>
      <c r="O15" s="8">
        <f>IF(N15="","",LEN(N15))</f>
        <v/>
      </c>
      <c r="P15" s="8" t="inlineStr"/>
      <c r="Q15" s="8">
        <f>IF(P15="","",LEN(P15))</f>
        <v/>
      </c>
      <c r="R15" s="10" t="inlineStr"/>
      <c r="S15" s="10" t="inlineStr"/>
      <c r="T15" s="8" t="inlineStr"/>
      <c r="U15" s="8" t="inlineStr"/>
      <c r="V15" s="10" t="inlineStr">
        <is>
          <t>See source notes / approved proof library where applicable</t>
        </is>
      </c>
      <c r="W15" s="10" t="inlineStr"/>
      <c r="X15" s="8" t="inlineStr">
        <is>
          <t>YES — 301</t>
        </is>
      </c>
      <c r="Y15" s="9" t="inlineStr">
        <is>
          <t>Existing program, new URL path</t>
        </is>
      </c>
      <c r="Z15" s="10" t="inlineStr">
        <is>
          <t>DRAFT — HUMAN REVIEW</t>
        </is>
      </c>
      <c r="AA15" s="12" t="inlineStr">
        <is>
          <t>Metadata, Schema</t>
        </is>
      </c>
    </row>
    <row r="16">
      <c r="A16" s="8" t="inlineStr">
        <is>
          <t>NUV-P012</t>
        </is>
      </c>
      <c r="B16" s="9" t="inlineStr">
        <is>
          <t>L3</t>
        </is>
      </c>
      <c r="C16" s="9" t="inlineStr">
        <is>
          <t>Offerings</t>
        </is>
      </c>
      <c r="D16" s="9" t="inlineStr">
        <is>
          <t>Turning Information into Sales</t>
        </is>
      </c>
      <c r="E16" s="9" t="inlineStr">
        <is>
          <t>/solutions/sales-enablement/turning-information-into-sales/</t>
        </is>
      </c>
      <c r="F16" s="8" t="inlineStr">
        <is>
          <t>Architecture L3</t>
        </is>
      </c>
      <c r="G16" s="9" t="inlineStr">
        <is>
          <t>EXISTS</t>
        </is>
      </c>
      <c r="H16" s="10" t="inlineStr">
        <is>
          <t>Product Aware</t>
        </is>
      </c>
      <c r="I16" s="10" t="inlineStr">
        <is>
          <t>Solution Aware</t>
        </is>
      </c>
      <c r="J16" s="10" t="inlineStr">
        <is>
          <t>Existing program, new URL path</t>
        </is>
      </c>
      <c r="K16" s="10" t="inlineStr"/>
      <c r="L16" s="10" t="inlineStr"/>
      <c r="M16" s="8" t="inlineStr">
        <is>
          <t>/curriculum/sales/turning-information-into-sales/</t>
        </is>
      </c>
      <c r="N16" s="8" t="inlineStr"/>
      <c r="O16" s="8">
        <f>IF(N16="","",LEN(N16))</f>
        <v/>
      </c>
      <c r="P16" s="8" t="inlineStr"/>
      <c r="Q16" s="8">
        <f>IF(P16="","",LEN(P16))</f>
        <v/>
      </c>
      <c r="R16" s="10" t="inlineStr"/>
      <c r="S16" s="10" t="inlineStr"/>
      <c r="T16" s="8" t="inlineStr"/>
      <c r="U16" s="8" t="inlineStr"/>
      <c r="V16" s="10" t="inlineStr">
        <is>
          <t>See source notes / approved proof library where applicable</t>
        </is>
      </c>
      <c r="W16" s="10" t="inlineStr"/>
      <c r="X16" s="8" t="inlineStr">
        <is>
          <t>YES — 301</t>
        </is>
      </c>
      <c r="Y16" s="9" t="inlineStr">
        <is>
          <t>Existing program, new URL path</t>
        </is>
      </c>
      <c r="Z16" s="10" t="inlineStr">
        <is>
          <t>DRAFT — HUMAN REVIEW</t>
        </is>
      </c>
      <c r="AA16" s="12" t="inlineStr">
        <is>
          <t>Metadata, Schema</t>
        </is>
      </c>
    </row>
    <row r="17">
      <c r="A17" s="8" t="inlineStr">
        <is>
          <t>NUV-P013</t>
        </is>
      </c>
      <c r="B17" s="9" t="inlineStr">
        <is>
          <t>L3</t>
        </is>
      </c>
      <c r="C17" s="9" t="inlineStr">
        <is>
          <t>Offerings</t>
        </is>
      </c>
      <c r="D17" s="9" t="inlineStr">
        <is>
          <t>Negotiating to Yes</t>
        </is>
      </c>
      <c r="E17" s="9" t="inlineStr">
        <is>
          <t>/solutions/sales-enablement/negotiating-to-yes-sales-edition/</t>
        </is>
      </c>
      <c r="F17" s="8" t="inlineStr">
        <is>
          <t>Architecture L3</t>
        </is>
      </c>
      <c r="G17" s="9" t="inlineStr">
        <is>
          <t>EXISTS</t>
        </is>
      </c>
      <c r="H17" s="10" t="inlineStr">
        <is>
          <t>Product Aware</t>
        </is>
      </c>
      <c r="I17" s="10" t="inlineStr">
        <is>
          <t>Solution Aware</t>
        </is>
      </c>
      <c r="J17" s="10" t="inlineStr">
        <is>
          <t>Existing program, new URL path</t>
        </is>
      </c>
      <c r="K17" s="10" t="inlineStr"/>
      <c r="L17" s="10" t="inlineStr"/>
      <c r="M17" s="8" t="inlineStr">
        <is>
          <t>/curriculum/sales/negotiating-to-yes/</t>
        </is>
      </c>
      <c r="N17" s="8" t="inlineStr"/>
      <c r="O17" s="8">
        <f>IF(N17="","",LEN(N17))</f>
        <v/>
      </c>
      <c r="P17" s="8" t="inlineStr"/>
      <c r="Q17" s="8">
        <f>IF(P17="","",LEN(P17))</f>
        <v/>
      </c>
      <c r="R17" s="10" t="inlineStr"/>
      <c r="S17" s="10" t="inlineStr"/>
      <c r="T17" s="8" t="inlineStr"/>
      <c r="U17" s="8" t="inlineStr"/>
      <c r="V17" s="10" t="inlineStr">
        <is>
          <t>See source notes / approved proof library where applicable</t>
        </is>
      </c>
      <c r="W17" s="10" t="inlineStr"/>
      <c r="X17" s="8" t="inlineStr">
        <is>
          <t>YES — 301</t>
        </is>
      </c>
      <c r="Y17" s="9" t="inlineStr">
        <is>
          <t>Existing program, new URL path</t>
        </is>
      </c>
      <c r="Z17" s="10" t="inlineStr">
        <is>
          <t>DRAFT — HUMAN REVIEW</t>
        </is>
      </c>
      <c r="AA17" s="12" t="inlineStr">
        <is>
          <t>Metadata, Schema</t>
        </is>
      </c>
    </row>
    <row r="18">
      <c r="A18" s="8" t="inlineStr">
        <is>
          <t>NUV-P014</t>
        </is>
      </c>
      <c r="B18" s="9" t="inlineStr">
        <is>
          <t>L3</t>
        </is>
      </c>
      <c r="C18" s="9" t="inlineStr">
        <is>
          <t>Offerings</t>
        </is>
      </c>
      <c r="D18" s="9" t="inlineStr">
        <is>
          <t>Time Management for Salespeople</t>
        </is>
      </c>
      <c r="E18" s="9" t="inlineStr">
        <is>
          <t>/solutions/sales-enablement/time-management-for-salespeople/</t>
        </is>
      </c>
      <c r="F18" s="8" t="inlineStr">
        <is>
          <t>Architecture L3</t>
        </is>
      </c>
      <c r="G18" s="9" t="inlineStr">
        <is>
          <t>EXISTS</t>
        </is>
      </c>
      <c r="H18" s="10" t="inlineStr">
        <is>
          <t>Product Aware</t>
        </is>
      </c>
      <c r="I18" s="10" t="inlineStr">
        <is>
          <t>Solution Aware</t>
        </is>
      </c>
      <c r="J18" s="10" t="inlineStr">
        <is>
          <t>Existing program, new URL path</t>
        </is>
      </c>
      <c r="K18" s="10" t="inlineStr"/>
      <c r="L18" s="10" t="inlineStr"/>
      <c r="M18" s="8" t="inlineStr">
        <is>
          <t>/curriculum/sales/time-management/</t>
        </is>
      </c>
      <c r="N18" s="8" t="inlineStr"/>
      <c r="O18" s="8">
        <f>IF(N18="","",LEN(N18))</f>
        <v/>
      </c>
      <c r="P18" s="8" t="inlineStr"/>
      <c r="Q18" s="8">
        <f>IF(P18="","",LEN(P18))</f>
        <v/>
      </c>
      <c r="R18" s="10" t="inlineStr"/>
      <c r="S18" s="10" t="inlineStr"/>
      <c r="T18" s="8" t="inlineStr"/>
      <c r="U18" s="8" t="inlineStr"/>
      <c r="V18" s="10" t="inlineStr">
        <is>
          <t>See source notes / approved proof library where applicable</t>
        </is>
      </c>
      <c r="W18" s="10" t="inlineStr"/>
      <c r="X18" s="8" t="inlineStr">
        <is>
          <t>YES — 301</t>
        </is>
      </c>
      <c r="Y18" s="9" t="inlineStr">
        <is>
          <t>Existing program, new URL path</t>
        </is>
      </c>
      <c r="Z18" s="10" t="inlineStr">
        <is>
          <t>DRAFT — HUMAN REVIEW</t>
        </is>
      </c>
      <c r="AA18" s="12" t="inlineStr">
        <is>
          <t>Metadata, Schema</t>
        </is>
      </c>
    </row>
    <row r="19">
      <c r="A19" s="8" t="inlineStr">
        <is>
          <t>NUV-P015</t>
        </is>
      </c>
      <c r="B19" s="9" t="inlineStr">
        <is>
          <t>L3</t>
        </is>
      </c>
      <c r="C19" s="9" t="inlineStr">
        <is>
          <t>Offerings</t>
        </is>
      </c>
      <c r="D19" s="9" t="inlineStr">
        <is>
          <t>Coaching the Counselor Salesperson</t>
        </is>
      </c>
      <c r="E19" s="9" t="inlineStr">
        <is>
          <t>/solutions/sales-enablement/coaching-the-counselor-salesperson/</t>
        </is>
      </c>
      <c r="F19" s="8" t="inlineStr">
        <is>
          <t>Architecture L3</t>
        </is>
      </c>
      <c r="G19" s="9" t="inlineStr">
        <is>
          <t>EXISTS</t>
        </is>
      </c>
      <c r="H19" s="10" t="inlineStr">
        <is>
          <t>Product Aware</t>
        </is>
      </c>
      <c r="I19" s="10" t="inlineStr">
        <is>
          <t>Solution Aware</t>
        </is>
      </c>
      <c r="J19" s="10" t="inlineStr">
        <is>
          <t>Existing program, new URL path</t>
        </is>
      </c>
      <c r="K19" s="10" t="inlineStr"/>
      <c r="L19" s="10" t="inlineStr"/>
      <c r="M19" s="8" t="inlineStr">
        <is>
          <t>/curriculum/sales/coaching-the-counselor-salesperson/</t>
        </is>
      </c>
      <c r="N19" s="8" t="inlineStr"/>
      <c r="O19" s="8">
        <f>IF(N19="","",LEN(N19))</f>
        <v/>
      </c>
      <c r="P19" s="8" t="inlineStr"/>
      <c r="Q19" s="8">
        <f>IF(P19="","",LEN(P19))</f>
        <v/>
      </c>
      <c r="R19" s="10" t="inlineStr"/>
      <c r="S19" s="10" t="inlineStr"/>
      <c r="T19" s="8" t="inlineStr"/>
      <c r="U19" s="8" t="inlineStr"/>
      <c r="V19" s="10" t="inlineStr">
        <is>
          <t>See source notes / approved proof library where applicable</t>
        </is>
      </c>
      <c r="W19" s="10" t="inlineStr"/>
      <c r="X19" s="8" t="inlineStr">
        <is>
          <t>YES — 301</t>
        </is>
      </c>
      <c r="Y19" s="9" t="inlineStr">
        <is>
          <t>Existing program, new URL path</t>
        </is>
      </c>
      <c r="Z19" s="10" t="inlineStr">
        <is>
          <t>DRAFT — HUMAN REVIEW</t>
        </is>
      </c>
      <c r="AA19" s="12" t="inlineStr">
        <is>
          <t>Metadata, Schema</t>
        </is>
      </c>
    </row>
    <row r="20">
      <c r="A20" s="8" t="inlineStr">
        <is>
          <t>NUV-P016</t>
        </is>
      </c>
      <c r="B20" s="9" t="inlineStr">
        <is>
          <t>L3</t>
        </is>
      </c>
      <c r="C20" s="9" t="inlineStr">
        <is>
          <t>Offerings</t>
        </is>
      </c>
      <c r="D20" s="9" t="inlineStr">
        <is>
          <t>Sales Advantage Series</t>
        </is>
      </c>
      <c r="E20" s="9" t="inlineStr">
        <is>
          <t>/solutions/sales-enablement/sales-advantage-series/</t>
        </is>
      </c>
      <c r="F20" s="8" t="inlineStr">
        <is>
          <t>Architecture L3</t>
        </is>
      </c>
      <c r="G20" s="9" t="inlineStr">
        <is>
          <t>EXISTS</t>
        </is>
      </c>
      <c r="H20" s="10" t="inlineStr">
        <is>
          <t>Product Aware</t>
        </is>
      </c>
      <c r="I20" s="10" t="inlineStr">
        <is>
          <t>Solution Aware</t>
        </is>
      </c>
      <c r="J20" s="10" t="inlineStr">
        <is>
          <t>Existing program, new URL path</t>
        </is>
      </c>
      <c r="K20" s="10" t="inlineStr"/>
      <c r="L20" s="10" t="inlineStr"/>
      <c r="M20" s="8" t="inlineStr">
        <is>
          <t>/curriculum/sales/sales-advantage-series/</t>
        </is>
      </c>
      <c r="N20" s="8" t="inlineStr"/>
      <c r="O20" s="8">
        <f>IF(N20="","",LEN(N20))</f>
        <v/>
      </c>
      <c r="P20" s="8" t="inlineStr"/>
      <c r="Q20" s="8">
        <f>IF(P20="","",LEN(P20))</f>
        <v/>
      </c>
      <c r="R20" s="10" t="inlineStr"/>
      <c r="S20" s="10" t="inlineStr"/>
      <c r="T20" s="8" t="inlineStr"/>
      <c r="U20" s="8" t="inlineStr"/>
      <c r="V20" s="10" t="inlineStr">
        <is>
          <t>See source notes / approved proof library where applicable</t>
        </is>
      </c>
      <c r="W20" s="10" t="inlineStr"/>
      <c r="X20" s="8" t="inlineStr">
        <is>
          <t>YES — 301</t>
        </is>
      </c>
      <c r="Y20" s="9" t="inlineStr">
        <is>
          <t>Existing program, new URL path</t>
        </is>
      </c>
      <c r="Z20" s="10" t="inlineStr">
        <is>
          <t>DRAFT — HUMAN REVIEW</t>
        </is>
      </c>
      <c r="AA20" s="12" t="inlineStr">
        <is>
          <t>Metadata, Schema</t>
        </is>
      </c>
    </row>
    <row r="21">
      <c r="A21" s="8" t="inlineStr">
        <is>
          <t>NUV-P017</t>
        </is>
      </c>
      <c r="B21" s="9" t="inlineStr">
        <is>
          <t>L3</t>
        </is>
      </c>
      <c r="C21" s="9" t="inlineStr">
        <is>
          <t>Offerings</t>
        </is>
      </c>
      <c r="D21" s="9" t="inlineStr">
        <is>
          <t>Trade Show Selling</t>
        </is>
      </c>
      <c r="E21" s="9" t="inlineStr">
        <is>
          <t>/solutions/sales-enablement/trade-show-selling/</t>
        </is>
      </c>
      <c r="F21" s="8" t="inlineStr">
        <is>
          <t>Architecture L3</t>
        </is>
      </c>
      <c r="G21" s="9" t="inlineStr">
        <is>
          <t>EXISTS</t>
        </is>
      </c>
      <c r="H21" s="10" t="inlineStr">
        <is>
          <t>Product Aware</t>
        </is>
      </c>
      <c r="I21" s="10" t="inlineStr">
        <is>
          <t>Solution Aware</t>
        </is>
      </c>
      <c r="J21" s="10" t="inlineStr">
        <is>
          <t>Existing program, new URL path</t>
        </is>
      </c>
      <c r="K21" s="10" t="inlineStr"/>
      <c r="L21" s="10" t="inlineStr"/>
      <c r="M21" s="8" t="inlineStr">
        <is>
          <t>/curriculum/sales/trade-show-selling/</t>
        </is>
      </c>
      <c r="N21" s="8" t="inlineStr"/>
      <c r="O21" s="8">
        <f>IF(N21="","",LEN(N21))</f>
        <v/>
      </c>
      <c r="P21" s="8" t="inlineStr"/>
      <c r="Q21" s="8">
        <f>IF(P21="","",LEN(P21))</f>
        <v/>
      </c>
      <c r="R21" s="10" t="inlineStr"/>
      <c r="S21" s="10" t="inlineStr"/>
      <c r="T21" s="8" t="inlineStr"/>
      <c r="U21" s="8" t="inlineStr"/>
      <c r="V21" s="10" t="inlineStr">
        <is>
          <t>See source notes / approved proof library where applicable</t>
        </is>
      </c>
      <c r="W21" s="10" t="inlineStr"/>
      <c r="X21" s="8" t="inlineStr">
        <is>
          <t>YES — 301</t>
        </is>
      </c>
      <c r="Y21" s="9" t="inlineStr">
        <is>
          <t>Existing program, new URL path</t>
        </is>
      </c>
      <c r="Z21" s="10" t="inlineStr">
        <is>
          <t>DRAFT — HUMAN REVIEW</t>
        </is>
      </c>
      <c r="AA21" s="12" t="inlineStr">
        <is>
          <t>Metadata, Schema</t>
        </is>
      </c>
    </row>
    <row r="22">
      <c r="A22" s="8" t="inlineStr">
        <is>
          <t>NUV-P018</t>
        </is>
      </c>
      <c r="B22" s="9" t="inlineStr">
        <is>
          <t>L3</t>
        </is>
      </c>
      <c r="C22" s="9" t="inlineStr">
        <is>
          <t>Offerings</t>
        </is>
      </c>
      <c r="D22" s="9" t="inlineStr">
        <is>
          <t>Value-Added Selling</t>
        </is>
      </c>
      <c r="E22" s="9" t="inlineStr">
        <is>
          <t>/solutions/sales-enablement/value-added-selling/</t>
        </is>
      </c>
      <c r="F22" s="8" t="inlineStr">
        <is>
          <t>Architecture L3</t>
        </is>
      </c>
      <c r="G22" s="9" t="inlineStr">
        <is>
          <t>EXISTS</t>
        </is>
      </c>
      <c r="H22" s="10" t="inlineStr">
        <is>
          <t>Product Aware</t>
        </is>
      </c>
      <c r="I22" s="10" t="inlineStr">
        <is>
          <t>Solution Aware</t>
        </is>
      </c>
      <c r="J22" s="10" t="inlineStr">
        <is>
          <t>Existing program, new URL path</t>
        </is>
      </c>
      <c r="K22" s="10" t="inlineStr"/>
      <c r="L22" s="10" t="inlineStr"/>
      <c r="M22" s="8" t="inlineStr">
        <is>
          <t>/curriculum/sales/value-added-selling/</t>
        </is>
      </c>
      <c r="N22" s="8" t="inlineStr"/>
      <c r="O22" s="8">
        <f>IF(N22="","",LEN(N22))</f>
        <v/>
      </c>
      <c r="P22" s="8" t="inlineStr"/>
      <c r="Q22" s="8">
        <f>IF(P22="","",LEN(P22))</f>
        <v/>
      </c>
      <c r="R22" s="10" t="inlineStr"/>
      <c r="S22" s="10" t="inlineStr"/>
      <c r="T22" s="8" t="inlineStr"/>
      <c r="U22" s="8" t="inlineStr"/>
      <c r="V22" s="10" t="inlineStr">
        <is>
          <t>See source notes / approved proof library where applicable</t>
        </is>
      </c>
      <c r="W22" s="10" t="inlineStr"/>
      <c r="X22" s="8" t="inlineStr">
        <is>
          <t>YES — 301</t>
        </is>
      </c>
      <c r="Y22" s="9" t="inlineStr">
        <is>
          <t>Existing program, new URL path</t>
        </is>
      </c>
      <c r="Z22" s="10" t="inlineStr">
        <is>
          <t>DRAFT — HUMAN REVIEW</t>
        </is>
      </c>
      <c r="AA22" s="12" t="inlineStr">
        <is>
          <t>Metadata, Schema</t>
        </is>
      </c>
    </row>
    <row r="23">
      <c r="A23" s="8" t="inlineStr">
        <is>
          <t>NUV-P019</t>
        </is>
      </c>
      <c r="B23" s="9" t="inlineStr">
        <is>
          <t>L3</t>
        </is>
      </c>
      <c r="C23" s="9" t="inlineStr">
        <is>
          <t>Offerings</t>
        </is>
      </c>
      <c r="D23" s="9" t="inlineStr">
        <is>
          <t>Sales Assessments</t>
        </is>
      </c>
      <c r="E23" s="9" t="inlineStr">
        <is>
          <t>/solutions/assessments/sales-assessments/</t>
        </is>
      </c>
      <c r="F23" s="8" t="inlineStr">
        <is>
          <t>Architecture L3</t>
        </is>
      </c>
      <c r="G23" s="9" t="inlineStr">
        <is>
          <t>MOVED</t>
        </is>
      </c>
      <c r="H23" s="10" t="inlineStr">
        <is>
          <t>Product Aware</t>
        </is>
      </c>
      <c r="I23" s="10" t="inlineStr">
        <is>
          <t>Solution Aware</t>
        </is>
      </c>
      <c r="J23" s="10" t="inlineStr">
        <is>
          <t>Existing</t>
        </is>
      </c>
      <c r="K23" s="10" t="inlineStr"/>
      <c r="L23" s="10" t="inlineStr"/>
      <c r="M23" s="8" t="inlineStr">
        <is>
          <t>/curriculum/sales/sales-assessments/</t>
        </is>
      </c>
      <c r="N23" s="8" t="inlineStr"/>
      <c r="O23" s="8">
        <f>IF(N23="","",LEN(N23))</f>
        <v/>
      </c>
      <c r="P23" s="8" t="inlineStr"/>
      <c r="Q23" s="8">
        <f>IF(P23="","",LEN(P23))</f>
        <v/>
      </c>
      <c r="R23" s="10" t="inlineStr"/>
      <c r="S23" s="10" t="inlineStr"/>
      <c r="T23" s="8" t="inlineStr"/>
      <c r="U23" s="8" t="inlineStr"/>
      <c r="V23" s="10" t="inlineStr">
        <is>
          <t>See source notes / approved proof library where applicable</t>
        </is>
      </c>
      <c r="W23" s="10" t="inlineStr"/>
      <c r="X23" s="8" t="inlineStr">
        <is>
          <t>YES — 301</t>
        </is>
      </c>
      <c r="Y23" s="9" t="inlineStr">
        <is>
          <t>Existing</t>
        </is>
      </c>
      <c r="Z23" s="10" t="inlineStr">
        <is>
          <t>DRAFT — HUMAN REVIEW</t>
        </is>
      </c>
      <c r="AA23" s="12" t="inlineStr">
        <is>
          <t>Metadata, Schema</t>
        </is>
      </c>
    </row>
    <row r="24">
      <c r="A24" s="8" t="inlineStr">
        <is>
          <t>NUV-P020</t>
        </is>
      </c>
      <c r="B24" s="9" t="inlineStr">
        <is>
          <t>L2</t>
        </is>
      </c>
      <c r="C24" s="9" t="inlineStr">
        <is>
          <t>Offerings</t>
        </is>
      </c>
      <c r="D24" s="9" t="inlineStr">
        <is>
          <t>Leadership (Pillar)</t>
        </is>
      </c>
      <c r="E24" s="9" t="inlineStr">
        <is>
          <t>/solutions/leadership/</t>
        </is>
      </c>
      <c r="F24" s="8" t="inlineStr">
        <is>
          <t>Architecture L2</t>
        </is>
      </c>
      <c r="G24" s="11" t="inlineStr">
        <is>
          <t>RESTRUCTURED</t>
        </is>
      </c>
      <c r="H24" s="10" t="inlineStr">
        <is>
          <t>Solution Aware</t>
        </is>
      </c>
      <c r="I24" s="10" t="inlineStr">
        <is>
          <t>Product Aware</t>
        </is>
      </c>
      <c r="J24" s="10" t="inlineStr">
        <is>
          <t>Pillar landing — 18+ workshops + executive coaching combined</t>
        </is>
      </c>
      <c r="K24" s="10" t="inlineStr">
        <is>
          <t>Explore Relevant Solution</t>
        </is>
      </c>
      <c r="L24" s="10" t="inlineStr">
        <is>
          <t>Request a Consultation</t>
        </is>
      </c>
      <c r="M24" s="8" t="inlineStr">
        <is>
          <t>/curriculum/leadership/</t>
        </is>
      </c>
      <c r="N24" s="9" t="inlineStr">
        <is>
          <t>Leadership &amp; Executive Coaching Programs | NuVue</t>
        </is>
      </c>
      <c r="O24" s="8">
        <f>IF(N24="","",LEN(N24))</f>
        <v/>
      </c>
      <c r="P24" s="9" t="inlineStr">
        <is>
          <t>Develop managers and executives with 18+ leadership workshops and one-on-one coaching. Build engaged teams and leaders who drive performance.</t>
        </is>
      </c>
      <c r="Q24" s="8">
        <f>IF(P24="","",LEN(P24))</f>
        <v/>
      </c>
      <c r="R24" s="10" t="inlineStr"/>
      <c r="S24" s="10" t="inlineStr">
        <is>
          <t>Leadership &amp; Executive Coaching Programs</t>
        </is>
      </c>
      <c r="T24" s="9" t="inlineStr">
        <is>
          <t>CollectionPage, BreadcrumbList</t>
        </is>
      </c>
      <c r="U24" s="9" t="inlineStr">
        <is>
          <t>CollectionPage with ItemList of Course/Service items. hasPart linking to program pages. BreadcrumbList.</t>
        </is>
      </c>
      <c r="V24" s="10" t="inlineStr">
        <is>
          <t>See source notes / approved proof library where applicable</t>
        </is>
      </c>
      <c r="W24" s="10" t="inlineStr"/>
      <c r="X24" s="8" t="inlineStr">
        <is>
          <t>YES — 301</t>
        </is>
      </c>
      <c r="Y24" s="9" t="inlineStr">
        <is>
          <t>Pillar landing — 18+ workshops + executive coaching combined | Pillar landing; absorbs team-building + coaching programs.</t>
        </is>
      </c>
      <c r="Z24" s="10" t="inlineStr">
        <is>
          <t>DRAFT — HUMAN REVIEW</t>
        </is>
      </c>
      <c r="AA24" s="10" t="inlineStr"/>
    </row>
    <row r="25">
      <c r="A25" s="8" t="inlineStr">
        <is>
          <t>NUV-P021</t>
        </is>
      </c>
      <c r="B25" s="9" t="inlineStr">
        <is>
          <t>L3</t>
        </is>
      </c>
      <c r="C25" s="9" t="inlineStr">
        <is>
          <t>Offerings</t>
        </is>
      </c>
      <c r="D25" s="9" t="inlineStr">
        <is>
          <t>Executive Coaching</t>
        </is>
      </c>
      <c r="E25" s="9" t="inlineStr">
        <is>
          <t>/solutions/coaching/executive-coaching/</t>
        </is>
      </c>
      <c r="F25" s="8" t="inlineStr">
        <is>
          <t>Architecture L3</t>
        </is>
      </c>
      <c r="G25" s="9" t="inlineStr">
        <is>
          <t>ENHANCED</t>
        </is>
      </c>
      <c r="H25" s="10" t="inlineStr">
        <is>
          <t>Product Aware</t>
        </is>
      </c>
      <c r="I25" s="10" t="inlineStr">
        <is>
          <t>Solution Aware</t>
        </is>
      </c>
      <c r="J25" s="10" t="inlineStr">
        <is>
          <t>Dedicated page — new managers to C-suite. Moved from /coaching/</t>
        </is>
      </c>
      <c r="K25" s="10" t="inlineStr"/>
      <c r="L25" s="10" t="inlineStr"/>
      <c r="M25" s="8" t="inlineStr">
        <is>
          <t>/curriculum/leadership/executive-coaching/</t>
        </is>
      </c>
      <c r="N25" s="9" t="inlineStr">
        <is>
          <t>Executive Coaching Services | NuVue</t>
        </is>
      </c>
      <c r="O25" s="8">
        <f>IF(N25="","",LEN(N25))</f>
        <v/>
      </c>
      <c r="P25" s="9" t="inlineStr">
        <is>
          <t>One-on-one executive coaching for new managers to the C-suite. Personalized development that strengthens leadership, decisions, and team results.</t>
        </is>
      </c>
      <c r="Q25" s="8">
        <f>IF(P25="","",LEN(P25))</f>
        <v/>
      </c>
      <c r="R25" s="10" t="inlineStr"/>
      <c r="S25" s="10" t="inlineStr">
        <is>
          <t>Executive Coaching Services</t>
        </is>
      </c>
      <c r="T25" s="9" t="inlineStr">
        <is>
          <t>Service, BreadcrumbList</t>
        </is>
      </c>
      <c r="U25" s="9" t="inlineStr">
        <is>
          <t>Service: serviceType (Executive Coaching), provider, audience, areaServed. BreadcrumbList. (Use Service, not Course - it is 1:1, not scheduled.)</t>
        </is>
      </c>
      <c r="V25" s="10" t="inlineStr">
        <is>
          <t>See source notes / approved proof library where applicable</t>
        </is>
      </c>
      <c r="W25" s="10" t="inlineStr"/>
      <c r="X25" s="8" t="inlineStr">
        <is>
          <t>YES — 301</t>
        </is>
      </c>
      <c r="Y25" s="9" t="inlineStr">
        <is>
          <t>Dedicated page — new managers to C-suite. Moved from /coaching/ | Moved from /coaching/ into Leadership pillar.</t>
        </is>
      </c>
      <c r="Z25" s="10" t="inlineStr">
        <is>
          <t>DRAFT — HUMAN REVIEW</t>
        </is>
      </c>
      <c r="AA25" s="10" t="inlineStr"/>
    </row>
    <row r="26">
      <c r="A26" s="8" t="inlineStr">
        <is>
          <t>NUV-P022</t>
        </is>
      </c>
      <c r="B26" s="9" t="inlineStr">
        <is>
          <t>L3</t>
        </is>
      </c>
      <c r="C26" s="9" t="inlineStr">
        <is>
          <t>Offerings</t>
        </is>
      </c>
      <c r="D26" s="9" t="inlineStr">
        <is>
          <t>Building Relationship Versatility</t>
        </is>
      </c>
      <c r="E26" s="9" t="inlineStr">
        <is>
          <t>/solutions/leadership/building-relationship-versatility/</t>
        </is>
      </c>
      <c r="F26" s="8" t="inlineStr">
        <is>
          <t>Architecture L3</t>
        </is>
      </c>
      <c r="G26" s="9" t="inlineStr">
        <is>
          <t>EXISTS</t>
        </is>
      </c>
      <c r="H26" s="10" t="inlineStr">
        <is>
          <t>Product Aware</t>
        </is>
      </c>
      <c r="I26" s="10" t="inlineStr">
        <is>
          <t>Solution Aware</t>
        </is>
      </c>
      <c r="J26" s="10" t="inlineStr">
        <is>
          <t>Existing program</t>
        </is>
      </c>
      <c r="K26" s="10" t="inlineStr"/>
      <c r="L26" s="10" t="inlineStr"/>
      <c r="M26" s="8" t="inlineStr">
        <is>
          <t>/curriculum/leadership/building-relationship-versatility/</t>
        </is>
      </c>
      <c r="N26" s="8" t="inlineStr"/>
      <c r="O26" s="8">
        <f>IF(N26="","",LEN(N26))</f>
        <v/>
      </c>
      <c r="P26" s="8" t="inlineStr"/>
      <c r="Q26" s="8">
        <f>IF(P26="","",LEN(P26))</f>
        <v/>
      </c>
      <c r="R26" s="10" t="inlineStr"/>
      <c r="S26" s="10" t="inlineStr"/>
      <c r="T26" s="8" t="inlineStr"/>
      <c r="U26" s="8" t="inlineStr"/>
      <c r="V26" s="10" t="inlineStr">
        <is>
          <t>See source notes / approved proof library where applicable</t>
        </is>
      </c>
      <c r="W26" s="10" t="inlineStr"/>
      <c r="X26" s="8" t="inlineStr">
        <is>
          <t>YES — 301</t>
        </is>
      </c>
      <c r="Y26" s="9" t="inlineStr">
        <is>
          <t>Existing program</t>
        </is>
      </c>
      <c r="Z26" s="10" t="inlineStr">
        <is>
          <t>DRAFT — HUMAN REVIEW</t>
        </is>
      </c>
      <c r="AA26" s="12" t="inlineStr">
        <is>
          <t>Metadata, Schema</t>
        </is>
      </c>
    </row>
    <row r="27">
      <c r="A27" s="8" t="inlineStr">
        <is>
          <t>NUV-P023</t>
        </is>
      </c>
      <c r="B27" s="9" t="inlineStr">
        <is>
          <t>L3</t>
        </is>
      </c>
      <c r="C27" s="9" t="inlineStr">
        <is>
          <t>Offerings</t>
        </is>
      </c>
      <c r="D27" s="9" t="inlineStr">
        <is>
          <t>Coaching for Performance</t>
        </is>
      </c>
      <c r="E27" s="9" t="inlineStr">
        <is>
          <t>/solutions/leadership/coaching-for-performance/</t>
        </is>
      </c>
      <c r="F27" s="8" t="inlineStr">
        <is>
          <t>Architecture L3</t>
        </is>
      </c>
      <c r="G27" s="9" t="inlineStr">
        <is>
          <t>EXISTS</t>
        </is>
      </c>
      <c r="H27" s="10" t="inlineStr">
        <is>
          <t>Product Aware</t>
        </is>
      </c>
      <c r="I27" s="10" t="inlineStr">
        <is>
          <t>Solution Aware</t>
        </is>
      </c>
      <c r="J27" s="10" t="inlineStr">
        <is>
          <t>Existing program</t>
        </is>
      </c>
      <c r="K27" s="10" t="inlineStr"/>
      <c r="L27" s="10" t="inlineStr"/>
      <c r="M27" s="8" t="inlineStr">
        <is>
          <t>/curriculum/leadership/coaching-for-performance/</t>
        </is>
      </c>
      <c r="N27" s="8" t="inlineStr"/>
      <c r="O27" s="8">
        <f>IF(N27="","",LEN(N27))</f>
        <v/>
      </c>
      <c r="P27" s="8" t="inlineStr"/>
      <c r="Q27" s="8">
        <f>IF(P27="","",LEN(P27))</f>
        <v/>
      </c>
      <c r="R27" s="10" t="inlineStr"/>
      <c r="S27" s="10" t="inlineStr"/>
      <c r="T27" s="8" t="inlineStr"/>
      <c r="U27" s="8" t="inlineStr"/>
      <c r="V27" s="10" t="inlineStr">
        <is>
          <t>See source notes / approved proof library where applicable</t>
        </is>
      </c>
      <c r="W27" s="10" t="inlineStr"/>
      <c r="X27" s="8" t="inlineStr">
        <is>
          <t>YES — 301</t>
        </is>
      </c>
      <c r="Y27" s="9" t="inlineStr">
        <is>
          <t>Existing program</t>
        </is>
      </c>
      <c r="Z27" s="10" t="inlineStr">
        <is>
          <t>DRAFT — HUMAN REVIEW</t>
        </is>
      </c>
      <c r="AA27" s="12" t="inlineStr">
        <is>
          <t>Metadata, Schema</t>
        </is>
      </c>
    </row>
    <row r="28">
      <c r="A28" s="8" t="inlineStr">
        <is>
          <t>NUV-P024</t>
        </is>
      </c>
      <c r="B28" s="9" t="inlineStr">
        <is>
          <t>L3</t>
        </is>
      </c>
      <c r="C28" s="9" t="inlineStr">
        <is>
          <t>Offerings</t>
        </is>
      </c>
      <c r="D28" s="9" t="inlineStr">
        <is>
          <t>Coaching for Sales Performance</t>
        </is>
      </c>
      <c r="E28" s="9" t="inlineStr">
        <is>
          <t>/solutions/leadership/coaching-for-sales-performance/</t>
        </is>
      </c>
      <c r="F28" s="8" t="inlineStr">
        <is>
          <t>Architecture L3</t>
        </is>
      </c>
      <c r="G28" s="9" t="inlineStr">
        <is>
          <t>EXISTS</t>
        </is>
      </c>
      <c r="H28" s="10" t="inlineStr">
        <is>
          <t>Product Aware</t>
        </is>
      </c>
      <c r="I28" s="10" t="inlineStr">
        <is>
          <t>Solution Aware</t>
        </is>
      </c>
      <c r="J28" s="10" t="inlineStr">
        <is>
          <t>Existing program</t>
        </is>
      </c>
      <c r="K28" s="10" t="inlineStr"/>
      <c r="L28" s="10" t="inlineStr"/>
      <c r="M28" s="8" t="inlineStr">
        <is>
          <t>/curriculum/leadership/coaching-for-sales-performance/</t>
        </is>
      </c>
      <c r="N28" s="8" t="inlineStr"/>
      <c r="O28" s="8">
        <f>IF(N28="","",LEN(N28))</f>
        <v/>
      </c>
      <c r="P28" s="8" t="inlineStr"/>
      <c r="Q28" s="8">
        <f>IF(P28="","",LEN(P28))</f>
        <v/>
      </c>
      <c r="R28" s="10" t="inlineStr"/>
      <c r="S28" s="10" t="inlineStr"/>
      <c r="T28" s="8" t="inlineStr"/>
      <c r="U28" s="8" t="inlineStr"/>
      <c r="V28" s="10" t="inlineStr">
        <is>
          <t>See source notes / approved proof library where applicable</t>
        </is>
      </c>
      <c r="W28" s="10" t="inlineStr"/>
      <c r="X28" s="8" t="inlineStr">
        <is>
          <t>YES — 301</t>
        </is>
      </c>
      <c r="Y28" s="9" t="inlineStr">
        <is>
          <t>Existing program</t>
        </is>
      </c>
      <c r="Z28" s="10" t="inlineStr">
        <is>
          <t>DRAFT — HUMAN REVIEW</t>
        </is>
      </c>
      <c r="AA28" s="12" t="inlineStr">
        <is>
          <t>Metadata, Schema</t>
        </is>
      </c>
    </row>
    <row r="29">
      <c r="A29" s="8" t="inlineStr">
        <is>
          <t>NUV-P025</t>
        </is>
      </c>
      <c r="B29" s="9" t="inlineStr">
        <is>
          <t>L3</t>
        </is>
      </c>
      <c r="C29" s="9" t="inlineStr">
        <is>
          <t>Offerings</t>
        </is>
      </c>
      <c r="D29" s="9" t="inlineStr">
        <is>
          <t>Communicating with Purpose</t>
        </is>
      </c>
      <c r="E29" s="9" t="inlineStr">
        <is>
          <t>/solutions/leadership/communicating-with-purpose/</t>
        </is>
      </c>
      <c r="F29" s="8" t="inlineStr">
        <is>
          <t>Architecture L3</t>
        </is>
      </c>
      <c r="G29" s="9" t="inlineStr">
        <is>
          <t>EXISTS</t>
        </is>
      </c>
      <c r="H29" s="10" t="inlineStr">
        <is>
          <t>Product Aware</t>
        </is>
      </c>
      <c r="I29" s="10" t="inlineStr">
        <is>
          <t>Solution Aware</t>
        </is>
      </c>
      <c r="J29" s="10" t="inlineStr">
        <is>
          <t>Existing program</t>
        </is>
      </c>
      <c r="K29" s="10" t="inlineStr"/>
      <c r="L29" s="10" t="inlineStr"/>
      <c r="M29" s="8" t="inlineStr">
        <is>
          <t>/curriculum/leadership/communicating-with-purpose/</t>
        </is>
      </c>
      <c r="N29" s="8" t="inlineStr"/>
      <c r="O29" s="8">
        <f>IF(N29="","",LEN(N29))</f>
        <v/>
      </c>
      <c r="P29" s="8" t="inlineStr"/>
      <c r="Q29" s="8">
        <f>IF(P29="","",LEN(P29))</f>
        <v/>
      </c>
      <c r="R29" s="10" t="inlineStr"/>
      <c r="S29" s="10" t="inlineStr"/>
      <c r="T29" s="8" t="inlineStr"/>
      <c r="U29" s="8" t="inlineStr"/>
      <c r="V29" s="10" t="inlineStr">
        <is>
          <t>See source notes / approved proof library where applicable</t>
        </is>
      </c>
      <c r="W29" s="10" t="inlineStr"/>
      <c r="X29" s="8" t="inlineStr">
        <is>
          <t>YES — 301</t>
        </is>
      </c>
      <c r="Y29" s="9" t="inlineStr">
        <is>
          <t>Existing program</t>
        </is>
      </c>
      <c r="Z29" s="10" t="inlineStr">
        <is>
          <t>DRAFT — HUMAN REVIEW</t>
        </is>
      </c>
      <c r="AA29" s="12" t="inlineStr">
        <is>
          <t>Metadata, Schema</t>
        </is>
      </c>
    </row>
    <row r="30">
      <c r="A30" s="8" t="inlineStr">
        <is>
          <t>NUV-P026</t>
        </is>
      </c>
      <c r="B30" s="9" t="inlineStr">
        <is>
          <t>L3</t>
        </is>
      </c>
      <c r="C30" s="9" t="inlineStr">
        <is>
          <t>Offerings</t>
        </is>
      </c>
      <c r="D30" s="9" t="inlineStr">
        <is>
          <t>Managing Conflict</t>
        </is>
      </c>
      <c r="E30" s="9" t="inlineStr">
        <is>
          <t>/solutions/leadership/managing-conflict/</t>
        </is>
      </c>
      <c r="F30" s="8" t="inlineStr">
        <is>
          <t>Architecture L3</t>
        </is>
      </c>
      <c r="G30" s="9" t="inlineStr">
        <is>
          <t>EXISTS</t>
        </is>
      </c>
      <c r="H30" s="10" t="inlineStr">
        <is>
          <t>Product Aware</t>
        </is>
      </c>
      <c r="I30" s="10" t="inlineStr">
        <is>
          <t>Solution Aware</t>
        </is>
      </c>
      <c r="J30" s="10" t="inlineStr">
        <is>
          <t>Existing program</t>
        </is>
      </c>
      <c r="K30" s="10" t="inlineStr"/>
      <c r="L30" s="10" t="inlineStr"/>
      <c r="M30" s="8" t="inlineStr">
        <is>
          <t>/curriculum/leadership/managing-conflict/</t>
        </is>
      </c>
      <c r="N30" s="8" t="inlineStr"/>
      <c r="O30" s="8">
        <f>IF(N30="","",LEN(N30))</f>
        <v/>
      </c>
      <c r="P30" s="8" t="inlineStr"/>
      <c r="Q30" s="8">
        <f>IF(P30="","",LEN(P30))</f>
        <v/>
      </c>
      <c r="R30" s="10" t="inlineStr"/>
      <c r="S30" s="10" t="inlineStr"/>
      <c r="T30" s="8" t="inlineStr"/>
      <c r="U30" s="8" t="inlineStr"/>
      <c r="V30" s="10" t="inlineStr">
        <is>
          <t>See source notes / approved proof library where applicable</t>
        </is>
      </c>
      <c r="W30" s="10" t="inlineStr"/>
      <c r="X30" s="8" t="inlineStr">
        <is>
          <t>YES — 301</t>
        </is>
      </c>
      <c r="Y30" s="9" t="inlineStr">
        <is>
          <t>Existing program</t>
        </is>
      </c>
      <c r="Z30" s="10" t="inlineStr">
        <is>
          <t>DRAFT — HUMAN REVIEW</t>
        </is>
      </c>
      <c r="AA30" s="12" t="inlineStr">
        <is>
          <t>Metadata, Schema</t>
        </is>
      </c>
    </row>
    <row r="31">
      <c r="A31" s="8" t="inlineStr">
        <is>
          <t>NUV-P027</t>
        </is>
      </c>
      <c r="B31" s="9" t="inlineStr">
        <is>
          <t>L3</t>
        </is>
      </c>
      <c r="C31" s="9" t="inlineStr">
        <is>
          <t>Offerings</t>
        </is>
      </c>
      <c r="D31" s="9" t="inlineStr">
        <is>
          <t>Managing Styles in Conflict</t>
        </is>
      </c>
      <c r="E31" s="9" t="inlineStr">
        <is>
          <t>/solutions/leadership/managing-styles-in-conflict/</t>
        </is>
      </c>
      <c r="F31" s="8" t="inlineStr">
        <is>
          <t>Architecture L3</t>
        </is>
      </c>
      <c r="G31" s="9" t="inlineStr">
        <is>
          <t>EXISTS</t>
        </is>
      </c>
      <c r="H31" s="10" t="inlineStr">
        <is>
          <t>Product Aware</t>
        </is>
      </c>
      <c r="I31" s="10" t="inlineStr">
        <is>
          <t>Solution Aware</t>
        </is>
      </c>
      <c r="J31" s="10" t="inlineStr">
        <is>
          <t>Existing program</t>
        </is>
      </c>
      <c r="K31" s="10" t="inlineStr"/>
      <c r="L31" s="10" t="inlineStr"/>
      <c r="M31" s="8" t="inlineStr">
        <is>
          <t>/curriculum/leadership/managing-styles-in-conflict/</t>
        </is>
      </c>
      <c r="N31" s="8" t="inlineStr"/>
      <c r="O31" s="8">
        <f>IF(N31="","",LEN(N31))</f>
        <v/>
      </c>
      <c r="P31" s="8" t="inlineStr"/>
      <c r="Q31" s="8">
        <f>IF(P31="","",LEN(P31))</f>
        <v/>
      </c>
      <c r="R31" s="10" t="inlineStr"/>
      <c r="S31" s="10" t="inlineStr"/>
      <c r="T31" s="8" t="inlineStr"/>
      <c r="U31" s="8" t="inlineStr"/>
      <c r="V31" s="10" t="inlineStr">
        <is>
          <t>See source notes / approved proof library where applicable</t>
        </is>
      </c>
      <c r="W31" s="10" t="inlineStr"/>
      <c r="X31" s="8" t="inlineStr">
        <is>
          <t>YES — 301</t>
        </is>
      </c>
      <c r="Y31" s="9" t="inlineStr">
        <is>
          <t>Existing program</t>
        </is>
      </c>
      <c r="Z31" s="10" t="inlineStr">
        <is>
          <t>DRAFT — HUMAN REVIEW</t>
        </is>
      </c>
      <c r="AA31" s="12" t="inlineStr">
        <is>
          <t>Metadata, Schema</t>
        </is>
      </c>
    </row>
    <row r="32">
      <c r="A32" s="8" t="inlineStr">
        <is>
          <t>NUV-P028</t>
        </is>
      </c>
      <c r="B32" s="9" t="inlineStr">
        <is>
          <t>L3</t>
        </is>
      </c>
      <c r="C32" s="9" t="inlineStr">
        <is>
          <t>Offerings</t>
        </is>
      </c>
      <c r="D32" s="9" t="inlineStr">
        <is>
          <t>Meeting Leadership Challenges</t>
        </is>
      </c>
      <c r="E32" s="9" t="inlineStr">
        <is>
          <t>/solutions/leadership/meeting-leadership-challenges/</t>
        </is>
      </c>
      <c r="F32" s="8" t="inlineStr">
        <is>
          <t>Architecture L3</t>
        </is>
      </c>
      <c r="G32" s="9" t="inlineStr">
        <is>
          <t>EXISTS</t>
        </is>
      </c>
      <c r="H32" s="10" t="inlineStr">
        <is>
          <t>Product Aware</t>
        </is>
      </c>
      <c r="I32" s="10" t="inlineStr">
        <is>
          <t>Solution Aware</t>
        </is>
      </c>
      <c r="J32" s="10" t="inlineStr">
        <is>
          <t>Existing program</t>
        </is>
      </c>
      <c r="K32" s="10" t="inlineStr"/>
      <c r="L32" s="10" t="inlineStr"/>
      <c r="M32" s="8" t="inlineStr">
        <is>
          <t>/curriculum/leadership/meeting-leadership-challenges/</t>
        </is>
      </c>
      <c r="N32" s="8" t="inlineStr"/>
      <c r="O32" s="8">
        <f>IF(N32="","",LEN(N32))</f>
        <v/>
      </c>
      <c r="P32" s="8" t="inlineStr"/>
      <c r="Q32" s="8">
        <f>IF(P32="","",LEN(P32))</f>
        <v/>
      </c>
      <c r="R32" s="10" t="inlineStr"/>
      <c r="S32" s="10" t="inlineStr"/>
      <c r="T32" s="8" t="inlineStr"/>
      <c r="U32" s="8" t="inlineStr"/>
      <c r="V32" s="10" t="inlineStr">
        <is>
          <t>See source notes / approved proof library where applicable</t>
        </is>
      </c>
      <c r="W32" s="10" t="inlineStr"/>
      <c r="X32" s="8" t="inlineStr">
        <is>
          <t>YES — 301</t>
        </is>
      </c>
      <c r="Y32" s="9" t="inlineStr">
        <is>
          <t>Existing program</t>
        </is>
      </c>
      <c r="Z32" s="10" t="inlineStr">
        <is>
          <t>DRAFT — HUMAN REVIEW</t>
        </is>
      </c>
      <c r="AA32" s="12" t="inlineStr">
        <is>
          <t>Metadata, Schema</t>
        </is>
      </c>
    </row>
    <row r="33">
      <c r="A33" s="8" t="inlineStr">
        <is>
          <t>NUV-P029</t>
        </is>
      </c>
      <c r="B33" s="9" t="inlineStr">
        <is>
          <t>L3</t>
        </is>
      </c>
      <c r="C33" s="9" t="inlineStr">
        <is>
          <t>Offerings</t>
        </is>
      </c>
      <c r="D33" s="9" t="inlineStr">
        <is>
          <t>Delegating with Confidence</t>
        </is>
      </c>
      <c r="E33" s="9" t="inlineStr">
        <is>
          <t>/solutions/leadership/delegating-with-confidence/</t>
        </is>
      </c>
      <c r="F33" s="8" t="inlineStr">
        <is>
          <t>Architecture L3</t>
        </is>
      </c>
      <c r="G33" s="9" t="inlineStr">
        <is>
          <t>EXISTS</t>
        </is>
      </c>
      <c r="H33" s="10" t="inlineStr">
        <is>
          <t>Product Aware</t>
        </is>
      </c>
      <c r="I33" s="10" t="inlineStr">
        <is>
          <t>Solution Aware</t>
        </is>
      </c>
      <c r="J33" s="10" t="inlineStr">
        <is>
          <t>Existing program</t>
        </is>
      </c>
      <c r="K33" s="10" t="inlineStr"/>
      <c r="L33" s="10" t="inlineStr"/>
      <c r="M33" s="8" t="inlineStr">
        <is>
          <t>/curriculum/leadership/delegating-with-confidence/</t>
        </is>
      </c>
      <c r="N33" s="8" t="inlineStr"/>
      <c r="O33" s="8">
        <f>IF(N33="","",LEN(N33))</f>
        <v/>
      </c>
      <c r="P33" s="8" t="inlineStr"/>
      <c r="Q33" s="8">
        <f>IF(P33="","",LEN(P33))</f>
        <v/>
      </c>
      <c r="R33" s="10" t="inlineStr"/>
      <c r="S33" s="10" t="inlineStr"/>
      <c r="T33" s="8" t="inlineStr"/>
      <c r="U33" s="8" t="inlineStr"/>
      <c r="V33" s="10" t="inlineStr">
        <is>
          <t>See source notes / approved proof library where applicable</t>
        </is>
      </c>
      <c r="W33" s="10" t="inlineStr"/>
      <c r="X33" s="8" t="inlineStr">
        <is>
          <t>YES — 301</t>
        </is>
      </c>
      <c r="Y33" s="9" t="inlineStr">
        <is>
          <t>Existing program</t>
        </is>
      </c>
      <c r="Z33" s="10" t="inlineStr">
        <is>
          <t>DRAFT — HUMAN REVIEW</t>
        </is>
      </c>
      <c r="AA33" s="12" t="inlineStr">
        <is>
          <t>Metadata, Schema</t>
        </is>
      </c>
    </row>
    <row r="34">
      <c r="A34" s="8" t="inlineStr">
        <is>
          <t>NUV-P030</t>
        </is>
      </c>
      <c r="B34" s="9" t="inlineStr">
        <is>
          <t>L3</t>
        </is>
      </c>
      <c r="C34" s="9" t="inlineStr">
        <is>
          <t>Offerings</t>
        </is>
      </c>
      <c r="D34" s="9" t="inlineStr">
        <is>
          <t>Leading from Within</t>
        </is>
      </c>
      <c r="E34" s="9" t="inlineStr">
        <is>
          <t>/solutions/leadership/leading-from-within/</t>
        </is>
      </c>
      <c r="F34" s="8" t="inlineStr">
        <is>
          <t>Architecture L3</t>
        </is>
      </c>
      <c r="G34" s="9" t="inlineStr">
        <is>
          <t>EXISTS</t>
        </is>
      </c>
      <c r="H34" s="10" t="inlineStr">
        <is>
          <t>Product Aware</t>
        </is>
      </c>
      <c r="I34" s="10" t="inlineStr">
        <is>
          <t>Solution Aware</t>
        </is>
      </c>
      <c r="J34" s="10" t="inlineStr">
        <is>
          <t>Existing program</t>
        </is>
      </c>
      <c r="K34" s="10" t="inlineStr"/>
      <c r="L34" s="10" t="inlineStr"/>
      <c r="M34" s="8" t="inlineStr">
        <is>
          <t>/curriculum/leadership/leading-from-within/</t>
        </is>
      </c>
      <c r="N34" s="8" t="inlineStr"/>
      <c r="O34" s="8">
        <f>IF(N34="","",LEN(N34))</f>
        <v/>
      </c>
      <c r="P34" s="8" t="inlineStr"/>
      <c r="Q34" s="8">
        <f>IF(P34="","",LEN(P34))</f>
        <v/>
      </c>
      <c r="R34" s="10" t="inlineStr"/>
      <c r="S34" s="10" t="inlineStr"/>
      <c r="T34" s="8" t="inlineStr"/>
      <c r="U34" s="8" t="inlineStr"/>
      <c r="V34" s="10" t="inlineStr">
        <is>
          <t>See source notes / approved proof library where applicable</t>
        </is>
      </c>
      <c r="W34" s="10" t="inlineStr"/>
      <c r="X34" s="8" t="inlineStr">
        <is>
          <t>YES — 301</t>
        </is>
      </c>
      <c r="Y34" s="9" t="inlineStr">
        <is>
          <t>Existing program</t>
        </is>
      </c>
      <c r="Z34" s="10" t="inlineStr">
        <is>
          <t>DRAFT — HUMAN REVIEW</t>
        </is>
      </c>
      <c r="AA34" s="12" t="inlineStr">
        <is>
          <t>Metadata, Schema</t>
        </is>
      </c>
    </row>
    <row r="35">
      <c r="A35" s="8" t="inlineStr">
        <is>
          <t>NUV-P031</t>
        </is>
      </c>
      <c r="B35" s="9" t="inlineStr">
        <is>
          <t>L3</t>
        </is>
      </c>
      <c r="C35" s="9" t="inlineStr">
        <is>
          <t>Offerings</t>
        </is>
      </c>
      <c r="D35" s="9" t="inlineStr">
        <is>
          <t>Leading in Challenging Times</t>
        </is>
      </c>
      <c r="E35" s="9" t="inlineStr">
        <is>
          <t>/solutions/leadership/leading-in-challenging-times/</t>
        </is>
      </c>
      <c r="F35" s="8" t="inlineStr">
        <is>
          <t>Architecture L3</t>
        </is>
      </c>
      <c r="G35" s="9" t="inlineStr">
        <is>
          <t>EXISTS</t>
        </is>
      </c>
      <c r="H35" s="10" t="inlineStr">
        <is>
          <t>Product Aware</t>
        </is>
      </c>
      <c r="I35" s="10" t="inlineStr">
        <is>
          <t>Solution Aware</t>
        </is>
      </c>
      <c r="J35" s="10" t="inlineStr">
        <is>
          <t>Existing program</t>
        </is>
      </c>
      <c r="K35" s="10" t="inlineStr"/>
      <c r="L35" s="10" t="inlineStr"/>
      <c r="M35" s="8" t="inlineStr">
        <is>
          <t>/curriculum/leadership/leading-in-challenging-times/</t>
        </is>
      </c>
      <c r="N35" s="8" t="inlineStr"/>
      <c r="O35" s="8">
        <f>IF(N35="","",LEN(N35))</f>
        <v/>
      </c>
      <c r="P35" s="8" t="inlineStr"/>
      <c r="Q35" s="8">
        <f>IF(P35="","",LEN(P35))</f>
        <v/>
      </c>
      <c r="R35" s="10" t="inlineStr"/>
      <c r="S35" s="10" t="inlineStr"/>
      <c r="T35" s="8" t="inlineStr"/>
      <c r="U35" s="8" t="inlineStr"/>
      <c r="V35" s="10" t="inlineStr">
        <is>
          <t>See source notes / approved proof library where applicable</t>
        </is>
      </c>
      <c r="W35" s="10" t="inlineStr"/>
      <c r="X35" s="8" t="inlineStr">
        <is>
          <t>YES — 301</t>
        </is>
      </c>
      <c r="Y35" s="9" t="inlineStr">
        <is>
          <t>Existing program</t>
        </is>
      </c>
      <c r="Z35" s="10" t="inlineStr">
        <is>
          <t>DRAFT — HUMAN REVIEW</t>
        </is>
      </c>
      <c r="AA35" s="12" t="inlineStr">
        <is>
          <t>Metadata, Schema</t>
        </is>
      </c>
    </row>
    <row r="36">
      <c r="A36" s="8" t="inlineStr">
        <is>
          <t>NUV-P032</t>
        </is>
      </c>
      <c r="B36" s="9" t="inlineStr">
        <is>
          <t>L3</t>
        </is>
      </c>
      <c r="C36" s="9" t="inlineStr">
        <is>
          <t>Offerings</t>
        </is>
      </c>
      <c r="D36" s="9" t="inlineStr">
        <is>
          <t>The Leader-Manager</t>
        </is>
      </c>
      <c r="E36" s="9" t="inlineStr">
        <is>
          <t>/solutions/leadership/the-leader-manager/</t>
        </is>
      </c>
      <c r="F36" s="8" t="inlineStr">
        <is>
          <t>Architecture L3</t>
        </is>
      </c>
      <c r="G36" s="9" t="inlineStr">
        <is>
          <t>EXISTS</t>
        </is>
      </c>
      <c r="H36" s="10" t="inlineStr">
        <is>
          <t>Product Aware</t>
        </is>
      </c>
      <c r="I36" s="10" t="inlineStr">
        <is>
          <t>Solution Aware</t>
        </is>
      </c>
      <c r="J36" s="10" t="inlineStr">
        <is>
          <t>Existing program</t>
        </is>
      </c>
      <c r="K36" s="10" t="inlineStr"/>
      <c r="L36" s="10" t="inlineStr"/>
      <c r="M36" s="8" t="inlineStr">
        <is>
          <t>/curriculum/leadership/the-leader-manager/</t>
        </is>
      </c>
      <c r="N36" s="8" t="inlineStr"/>
      <c r="O36" s="8">
        <f>IF(N36="","",LEN(N36))</f>
        <v/>
      </c>
      <c r="P36" s="8" t="inlineStr"/>
      <c r="Q36" s="8">
        <f>IF(P36="","",LEN(P36))</f>
        <v/>
      </c>
      <c r="R36" s="10" t="inlineStr"/>
      <c r="S36" s="10" t="inlineStr"/>
      <c r="T36" s="8" t="inlineStr"/>
      <c r="U36" s="8" t="inlineStr"/>
      <c r="V36" s="10" t="inlineStr">
        <is>
          <t>See source notes / approved proof library where applicable</t>
        </is>
      </c>
      <c r="W36" s="10" t="inlineStr"/>
      <c r="X36" s="8" t="inlineStr">
        <is>
          <t>YES — 301</t>
        </is>
      </c>
      <c r="Y36" s="9" t="inlineStr">
        <is>
          <t>Existing program</t>
        </is>
      </c>
      <c r="Z36" s="10" t="inlineStr">
        <is>
          <t>DRAFT — HUMAN REVIEW</t>
        </is>
      </c>
      <c r="AA36" s="12" t="inlineStr">
        <is>
          <t>Metadata, Schema</t>
        </is>
      </c>
    </row>
    <row r="37">
      <c r="A37" s="8" t="inlineStr">
        <is>
          <t>NUV-P033</t>
        </is>
      </c>
      <c r="B37" s="9" t="inlineStr">
        <is>
          <t>L3</t>
        </is>
      </c>
      <c r="C37" s="9" t="inlineStr">
        <is>
          <t>Offerings</t>
        </is>
      </c>
      <c r="D37" s="9" t="inlineStr">
        <is>
          <t>Creating a Culture of Engagement</t>
        </is>
      </c>
      <c r="E37" s="9" t="inlineStr">
        <is>
          <t>/solutions/leadership/creating-a-culture-of-engagement/</t>
        </is>
      </c>
      <c r="F37" s="8" t="inlineStr">
        <is>
          <t>Architecture L3</t>
        </is>
      </c>
      <c r="G37" s="9" t="inlineStr">
        <is>
          <t>EXISTS</t>
        </is>
      </c>
      <c r="H37" s="10" t="inlineStr">
        <is>
          <t>Product Aware</t>
        </is>
      </c>
      <c r="I37" s="10" t="inlineStr">
        <is>
          <t>Solution Aware</t>
        </is>
      </c>
      <c r="J37" s="10" t="inlineStr">
        <is>
          <t>Existing program</t>
        </is>
      </c>
      <c r="K37" s="10" t="inlineStr"/>
      <c r="L37" s="10" t="inlineStr"/>
      <c r="M37" s="8" t="inlineStr">
        <is>
          <t>/curriculum/leadership/creating-a-culture-of-engagement/</t>
        </is>
      </c>
      <c r="N37" s="8" t="inlineStr"/>
      <c r="O37" s="8">
        <f>IF(N37="","",LEN(N37))</f>
        <v/>
      </c>
      <c r="P37" s="8" t="inlineStr"/>
      <c r="Q37" s="8">
        <f>IF(P37="","",LEN(P37))</f>
        <v/>
      </c>
      <c r="R37" s="10" t="inlineStr"/>
      <c r="S37" s="10" t="inlineStr"/>
      <c r="T37" s="8" t="inlineStr"/>
      <c r="U37" s="8" t="inlineStr"/>
      <c r="V37" s="10" t="inlineStr">
        <is>
          <t>See source notes / approved proof library where applicable</t>
        </is>
      </c>
      <c r="W37" s="10" t="inlineStr"/>
      <c r="X37" s="8" t="inlineStr">
        <is>
          <t>YES — 301</t>
        </is>
      </c>
      <c r="Y37" s="9" t="inlineStr">
        <is>
          <t>Existing program</t>
        </is>
      </c>
      <c r="Z37" s="10" t="inlineStr">
        <is>
          <t>DRAFT — HUMAN REVIEW</t>
        </is>
      </c>
      <c r="AA37" s="12" t="inlineStr">
        <is>
          <t>Metadata, Schema</t>
        </is>
      </c>
    </row>
    <row r="38">
      <c r="A38" s="8" t="inlineStr">
        <is>
          <t>NUV-P034</t>
        </is>
      </c>
      <c r="B38" s="9" t="inlineStr">
        <is>
          <t>L3</t>
        </is>
      </c>
      <c r="C38" s="9" t="inlineStr">
        <is>
          <t>Offerings</t>
        </is>
      </c>
      <c r="D38" s="9" t="inlineStr">
        <is>
          <t>Getting to Yes</t>
        </is>
      </c>
      <c r="E38" s="9" t="inlineStr">
        <is>
          <t>/solutions/leadership/getting-to-yes-influencing-for-optimal-results/</t>
        </is>
      </c>
      <c r="F38" s="8" t="inlineStr">
        <is>
          <t>Architecture L3</t>
        </is>
      </c>
      <c r="G38" s="9" t="inlineStr">
        <is>
          <t>EXISTS</t>
        </is>
      </c>
      <c r="H38" s="10" t="inlineStr">
        <is>
          <t>Product Aware</t>
        </is>
      </c>
      <c r="I38" s="10" t="inlineStr">
        <is>
          <t>Solution Aware</t>
        </is>
      </c>
      <c r="J38" s="10" t="inlineStr">
        <is>
          <t>Existing program, shortened URL</t>
        </is>
      </c>
      <c r="K38" s="10" t="inlineStr"/>
      <c r="L38" s="10" t="inlineStr"/>
      <c r="M38" s="8" t="inlineStr">
        <is>
          <t>/curriculum/leadership/getting-to-yes/</t>
        </is>
      </c>
      <c r="N38" s="8" t="inlineStr"/>
      <c r="O38" s="8">
        <f>IF(N38="","",LEN(N38))</f>
        <v/>
      </c>
      <c r="P38" s="8" t="inlineStr"/>
      <c r="Q38" s="8">
        <f>IF(P38="","",LEN(P38))</f>
        <v/>
      </c>
      <c r="R38" s="10" t="inlineStr"/>
      <c r="S38" s="10" t="inlineStr"/>
      <c r="T38" s="8" t="inlineStr"/>
      <c r="U38" s="8" t="inlineStr"/>
      <c r="V38" s="10" t="inlineStr">
        <is>
          <t>See source notes / approved proof library where applicable</t>
        </is>
      </c>
      <c r="W38" s="10" t="inlineStr"/>
      <c r="X38" s="8" t="inlineStr">
        <is>
          <t>YES — 301</t>
        </is>
      </c>
      <c r="Y38" s="9" t="inlineStr">
        <is>
          <t>Existing program, shortened URL</t>
        </is>
      </c>
      <c r="Z38" s="10" t="inlineStr">
        <is>
          <t>DRAFT — HUMAN REVIEW</t>
        </is>
      </c>
      <c r="AA38" s="12" t="inlineStr">
        <is>
          <t>Metadata, Schema</t>
        </is>
      </c>
    </row>
    <row r="39">
      <c r="A39" s="8" t="inlineStr">
        <is>
          <t>NUV-P035</t>
        </is>
      </c>
      <c r="B39" s="9" t="inlineStr">
        <is>
          <t>L3</t>
        </is>
      </c>
      <c r="C39" s="9" t="inlineStr">
        <is>
          <t>Offerings</t>
        </is>
      </c>
      <c r="D39" s="9" t="inlineStr">
        <is>
          <t>Global Effectiveness</t>
        </is>
      </c>
      <c r="E39" s="9" t="inlineStr">
        <is>
          <t>/solutions/leadership/global-effectiveness/</t>
        </is>
      </c>
      <c r="F39" s="8" t="inlineStr">
        <is>
          <t>Architecture L3</t>
        </is>
      </c>
      <c r="G39" s="9" t="inlineStr">
        <is>
          <t>EXISTS</t>
        </is>
      </c>
      <c r="H39" s="10" t="inlineStr">
        <is>
          <t>Product Aware</t>
        </is>
      </c>
      <c r="I39" s="10" t="inlineStr">
        <is>
          <t>Solution Aware</t>
        </is>
      </c>
      <c r="J39" s="10" t="inlineStr">
        <is>
          <t>Existing program</t>
        </is>
      </c>
      <c r="K39" s="10" t="inlineStr"/>
      <c r="L39" s="10" t="inlineStr"/>
      <c r="M39" s="8" t="inlineStr">
        <is>
          <t>/curriculum/leadership/global-effectiveness/</t>
        </is>
      </c>
      <c r="N39" s="8" t="inlineStr"/>
      <c r="O39" s="8">
        <f>IF(N39="","",LEN(N39))</f>
        <v/>
      </c>
      <c r="P39" s="8" t="inlineStr"/>
      <c r="Q39" s="8">
        <f>IF(P39="","",LEN(P39))</f>
        <v/>
      </c>
      <c r="R39" s="10" t="inlineStr"/>
      <c r="S39" s="10" t="inlineStr"/>
      <c r="T39" s="8" t="inlineStr"/>
      <c r="U39" s="8" t="inlineStr"/>
      <c r="V39" s="10" t="inlineStr">
        <is>
          <t>See source notes / approved proof library where applicable</t>
        </is>
      </c>
      <c r="W39" s="10" t="inlineStr"/>
      <c r="X39" s="8" t="inlineStr">
        <is>
          <t>YES — 301</t>
        </is>
      </c>
      <c r="Y39" s="9" t="inlineStr">
        <is>
          <t>Existing program</t>
        </is>
      </c>
      <c r="Z39" s="10" t="inlineStr">
        <is>
          <t>DRAFT — HUMAN REVIEW</t>
        </is>
      </c>
      <c r="AA39" s="12" t="inlineStr">
        <is>
          <t>Metadata, Schema</t>
        </is>
      </c>
    </row>
    <row r="40">
      <c r="A40" s="8" t="inlineStr">
        <is>
          <t>NUV-P036</t>
        </is>
      </c>
      <c r="B40" s="9" t="inlineStr">
        <is>
          <t>L3</t>
        </is>
      </c>
      <c r="C40" s="9" t="inlineStr">
        <is>
          <t>Offerings</t>
        </is>
      </c>
      <c r="D40" s="9" t="inlineStr">
        <is>
          <t>Motivating for Results</t>
        </is>
      </c>
      <c r="E40" s="9" t="inlineStr">
        <is>
          <t>/solutions/leadership/motivating-for-results/</t>
        </is>
      </c>
      <c r="F40" s="8" t="inlineStr">
        <is>
          <t>Architecture L3</t>
        </is>
      </c>
      <c r="G40" s="9" t="inlineStr">
        <is>
          <t>EXISTS</t>
        </is>
      </c>
      <c r="H40" s="10" t="inlineStr">
        <is>
          <t>Product Aware</t>
        </is>
      </c>
      <c r="I40" s="10" t="inlineStr"/>
      <c r="J40" s="10" t="inlineStr">
        <is>
          <t>Existing program</t>
        </is>
      </c>
      <c r="K40" s="10" t="inlineStr"/>
      <c r="L40" s="10" t="inlineStr"/>
      <c r="M40" s="8" t="inlineStr">
        <is>
          <t>/curriculum/leadership/motivating-for-results/</t>
        </is>
      </c>
      <c r="N40" s="8" t="inlineStr"/>
      <c r="O40" s="8">
        <f>IF(N40="","",LEN(N40))</f>
        <v/>
      </c>
      <c r="P40" s="8" t="inlineStr"/>
      <c r="Q40" s="8">
        <f>IF(P40="","",LEN(P40))</f>
        <v/>
      </c>
      <c r="R40" s="10" t="inlineStr"/>
      <c r="S40" s="10" t="inlineStr"/>
      <c r="T40" s="8" t="inlineStr"/>
      <c r="U40" s="8" t="inlineStr"/>
      <c r="V40" s="10" t="inlineStr">
        <is>
          <t>See source notes / approved proof library where applicable</t>
        </is>
      </c>
      <c r="W40" s="10" t="inlineStr"/>
      <c r="X40" s="8" t="inlineStr">
        <is>
          <t>YES — 301</t>
        </is>
      </c>
      <c r="Y40" s="9" t="inlineStr">
        <is>
          <t>Existing program</t>
        </is>
      </c>
      <c r="Z40" s="10" t="inlineStr">
        <is>
          <t>DRAFT — HUMAN REVIEW</t>
        </is>
      </c>
      <c r="AA40" s="12" t="inlineStr">
        <is>
          <t>Metadata, Schema</t>
        </is>
      </c>
    </row>
    <row r="41">
      <c r="A41" s="8" t="inlineStr">
        <is>
          <t>NUV-P037</t>
        </is>
      </c>
      <c r="B41" s="9" t="inlineStr">
        <is>
          <t>L3</t>
        </is>
      </c>
      <c r="C41" s="9" t="inlineStr">
        <is>
          <t>Offerings</t>
        </is>
      </c>
      <c r="D41" s="9" t="inlineStr">
        <is>
          <t>Leading for Growth</t>
        </is>
      </c>
      <c r="E41" s="9" t="inlineStr">
        <is>
          <t>/solutions/leadership/leading-for-growth/</t>
        </is>
      </c>
      <c r="F41" s="8" t="inlineStr">
        <is>
          <t>Architecture L3</t>
        </is>
      </c>
      <c r="G41" s="9" t="inlineStr">
        <is>
          <t>EXISTS</t>
        </is>
      </c>
      <c r="H41" s="10" t="inlineStr">
        <is>
          <t>Product Aware</t>
        </is>
      </c>
      <c r="I41" s="10" t="inlineStr">
        <is>
          <t>Solution Aware</t>
        </is>
      </c>
      <c r="J41" s="10" t="inlineStr">
        <is>
          <t>Existing program</t>
        </is>
      </c>
      <c r="K41" s="10" t="inlineStr"/>
      <c r="L41" s="10" t="inlineStr"/>
      <c r="M41" s="8" t="inlineStr">
        <is>
          <t>/curriculum/leadership/leading-for-growth/</t>
        </is>
      </c>
      <c r="N41" s="8" t="inlineStr"/>
      <c r="O41" s="8">
        <f>IF(N41="","",LEN(N41))</f>
        <v/>
      </c>
      <c r="P41" s="8" t="inlineStr"/>
      <c r="Q41" s="8">
        <f>IF(P41="","",LEN(P41))</f>
        <v/>
      </c>
      <c r="R41" s="10" t="inlineStr"/>
      <c r="S41" s="10" t="inlineStr"/>
      <c r="T41" s="8" t="inlineStr"/>
      <c r="U41" s="8" t="inlineStr"/>
      <c r="V41" s="10" t="inlineStr">
        <is>
          <t>See source notes / approved proof library where applicable</t>
        </is>
      </c>
      <c r="W41" s="10" t="inlineStr"/>
      <c r="X41" s="8" t="inlineStr">
        <is>
          <t>YES — 301</t>
        </is>
      </c>
      <c r="Y41" s="9" t="inlineStr">
        <is>
          <t>Existing program</t>
        </is>
      </c>
      <c r="Z41" s="10" t="inlineStr">
        <is>
          <t>DRAFT — HUMAN REVIEW</t>
        </is>
      </c>
      <c r="AA41" s="12" t="inlineStr">
        <is>
          <t>Metadata, Schema</t>
        </is>
      </c>
    </row>
    <row r="42">
      <c r="A42" s="8" t="inlineStr">
        <is>
          <t>NUV-P038</t>
        </is>
      </c>
      <c r="B42" s="9" t="inlineStr">
        <is>
          <t>L3</t>
        </is>
      </c>
      <c r="C42" s="9" t="inlineStr">
        <is>
          <t>Offerings</t>
        </is>
      </c>
      <c r="D42" s="9" t="inlineStr">
        <is>
          <t>Interviewing for Selection</t>
        </is>
      </c>
      <c r="E42" s="9" t="inlineStr">
        <is>
          <t>/solutions/leadership/interviewing-for-selection/</t>
        </is>
      </c>
      <c r="F42" s="8" t="inlineStr">
        <is>
          <t>Architecture L3</t>
        </is>
      </c>
      <c r="G42" s="9" t="inlineStr">
        <is>
          <t>EXISTS</t>
        </is>
      </c>
      <c r="H42" s="10" t="inlineStr">
        <is>
          <t>Product Aware</t>
        </is>
      </c>
      <c r="I42" s="10" t="inlineStr">
        <is>
          <t>Solution Aware</t>
        </is>
      </c>
      <c r="J42" s="10" t="inlineStr">
        <is>
          <t>Existing program</t>
        </is>
      </c>
      <c r="K42" s="10" t="inlineStr"/>
      <c r="L42" s="10" t="inlineStr"/>
      <c r="M42" s="8" t="inlineStr">
        <is>
          <t>/curriculum/leadership/interviewing-for-selection/</t>
        </is>
      </c>
      <c r="N42" s="8" t="inlineStr"/>
      <c r="O42" s="8">
        <f>IF(N42="","",LEN(N42))</f>
        <v/>
      </c>
      <c r="P42" s="8" t="inlineStr"/>
      <c r="Q42" s="8">
        <f>IF(P42="","",LEN(P42))</f>
        <v/>
      </c>
      <c r="R42" s="10" t="inlineStr"/>
      <c r="S42" s="10" t="inlineStr"/>
      <c r="T42" s="8" t="inlineStr"/>
      <c r="U42" s="8" t="inlineStr"/>
      <c r="V42" s="10" t="inlineStr">
        <is>
          <t>See source notes / approved proof library where applicable</t>
        </is>
      </c>
      <c r="W42" s="10" t="inlineStr"/>
      <c r="X42" s="8" t="inlineStr">
        <is>
          <t>YES — 301</t>
        </is>
      </c>
      <c r="Y42" s="9" t="inlineStr">
        <is>
          <t>Existing program</t>
        </is>
      </c>
      <c r="Z42" s="10" t="inlineStr">
        <is>
          <t>DRAFT — HUMAN REVIEW</t>
        </is>
      </c>
      <c r="AA42" s="12" t="inlineStr">
        <is>
          <t>Metadata, Schema</t>
        </is>
      </c>
    </row>
    <row r="43">
      <c r="A43" s="8" t="inlineStr">
        <is>
          <t>NUV-P039</t>
        </is>
      </c>
      <c r="B43" s="9" t="inlineStr">
        <is>
          <t>L3</t>
        </is>
      </c>
      <c r="C43" s="9" t="inlineStr">
        <is>
          <t>Offerings</t>
        </is>
      </c>
      <c r="D43" s="9" t="inlineStr">
        <is>
          <t>Consulting with Clients</t>
        </is>
      </c>
      <c r="E43" s="9" t="inlineStr">
        <is>
          <t>/solutions/leadership/consulting-with-clients/</t>
        </is>
      </c>
      <c r="F43" s="8" t="inlineStr">
        <is>
          <t>Architecture L3</t>
        </is>
      </c>
      <c r="G43" s="9" t="inlineStr">
        <is>
          <t>EXISTS</t>
        </is>
      </c>
      <c r="H43" s="10" t="inlineStr">
        <is>
          <t>Product Aware</t>
        </is>
      </c>
      <c r="I43" s="10" t="inlineStr">
        <is>
          <t>Solution Aware</t>
        </is>
      </c>
      <c r="J43" s="10" t="inlineStr">
        <is>
          <t>Existing program</t>
        </is>
      </c>
      <c r="K43" s="10" t="inlineStr"/>
      <c r="L43" s="10" t="inlineStr"/>
      <c r="M43" s="8" t="inlineStr">
        <is>
          <t>/curriculum/leadership/consulting-with-clients/</t>
        </is>
      </c>
      <c r="N43" s="8" t="inlineStr"/>
      <c r="O43" s="8">
        <f>IF(N43="","",LEN(N43))</f>
        <v/>
      </c>
      <c r="P43" s="8" t="inlineStr"/>
      <c r="Q43" s="8">
        <f>IF(P43="","",LEN(P43))</f>
        <v/>
      </c>
      <c r="R43" s="10" t="inlineStr"/>
      <c r="S43" s="10" t="inlineStr"/>
      <c r="T43" s="8" t="inlineStr"/>
      <c r="U43" s="8" t="inlineStr"/>
      <c r="V43" s="10" t="inlineStr">
        <is>
          <t>See source notes / approved proof library where applicable</t>
        </is>
      </c>
      <c r="W43" s="10" t="inlineStr"/>
      <c r="X43" s="8" t="inlineStr">
        <is>
          <t>YES — 301</t>
        </is>
      </c>
      <c r="Y43" s="9" t="inlineStr">
        <is>
          <t>Existing program</t>
        </is>
      </c>
      <c r="Z43" s="10" t="inlineStr">
        <is>
          <t>DRAFT — HUMAN REVIEW</t>
        </is>
      </c>
      <c r="AA43" s="12" t="inlineStr">
        <is>
          <t>Metadata, Schema</t>
        </is>
      </c>
    </row>
    <row r="44">
      <c r="A44" s="8" t="inlineStr">
        <is>
          <t>NUV-P040</t>
        </is>
      </c>
      <c r="B44" s="9" t="inlineStr">
        <is>
          <t>L3</t>
        </is>
      </c>
      <c r="C44" s="9" t="inlineStr">
        <is>
          <t>Offerings</t>
        </is>
      </c>
      <c r="D44" s="9" t="inlineStr">
        <is>
          <t>Work-Life Balance</t>
        </is>
      </c>
      <c r="E44" s="9" t="inlineStr">
        <is>
          <t>/solutions/leadership/work-life-balance/</t>
        </is>
      </c>
      <c r="F44" s="8" t="inlineStr">
        <is>
          <t>Architecture L3</t>
        </is>
      </c>
      <c r="G44" s="9" t="inlineStr">
        <is>
          <t>EXISTS</t>
        </is>
      </c>
      <c r="H44" s="10" t="inlineStr">
        <is>
          <t>Product Aware</t>
        </is>
      </c>
      <c r="I44" s="10" t="inlineStr">
        <is>
          <t>Solution Aware</t>
        </is>
      </c>
      <c r="J44" s="10" t="inlineStr">
        <is>
          <t>Existing program</t>
        </is>
      </c>
      <c r="K44" s="10" t="inlineStr"/>
      <c r="L44" s="10" t="inlineStr"/>
      <c r="M44" s="8" t="inlineStr">
        <is>
          <t>/curriculum/leadership/work-life-balance/</t>
        </is>
      </c>
      <c r="N44" s="8" t="inlineStr"/>
      <c r="O44" s="8">
        <f>IF(N44="","",LEN(N44))</f>
        <v/>
      </c>
      <c r="P44" s="8" t="inlineStr"/>
      <c r="Q44" s="8">
        <f>IF(P44="","",LEN(P44))</f>
        <v/>
      </c>
      <c r="R44" s="10" t="inlineStr"/>
      <c r="S44" s="10" t="inlineStr"/>
      <c r="T44" s="8" t="inlineStr"/>
      <c r="U44" s="8" t="inlineStr"/>
      <c r="V44" s="10" t="inlineStr">
        <is>
          <t>See source notes / approved proof library where applicable</t>
        </is>
      </c>
      <c r="W44" s="10" t="inlineStr"/>
      <c r="X44" s="8" t="inlineStr">
        <is>
          <t>YES — 301</t>
        </is>
      </c>
      <c r="Y44" s="9" t="inlineStr">
        <is>
          <t>Existing program</t>
        </is>
      </c>
      <c r="Z44" s="10" t="inlineStr">
        <is>
          <t>DRAFT — HUMAN REVIEW</t>
        </is>
      </c>
      <c r="AA44" s="12" t="inlineStr">
        <is>
          <t>Metadata, Schema</t>
        </is>
      </c>
    </row>
    <row r="45">
      <c r="A45" s="8" t="inlineStr">
        <is>
          <t>NUV-P041</t>
        </is>
      </c>
      <c r="B45" s="9" t="inlineStr">
        <is>
          <t>L3</t>
        </is>
      </c>
      <c r="C45" s="9" t="inlineStr">
        <is>
          <t>Offerings</t>
        </is>
      </c>
      <c r="D45" s="9" t="inlineStr">
        <is>
          <t>Working Styles / Social Styles</t>
        </is>
      </c>
      <c r="E45" s="9" t="inlineStr">
        <is>
          <t>/solutions/leadership/working-styles-dimensions-of-social-styles/</t>
        </is>
      </c>
      <c r="F45" s="8" t="inlineStr">
        <is>
          <t>Architecture L3</t>
        </is>
      </c>
      <c r="G45" s="9" t="inlineStr">
        <is>
          <t>EXISTS</t>
        </is>
      </c>
      <c r="H45" s="10" t="inlineStr">
        <is>
          <t>Product Aware</t>
        </is>
      </c>
      <c r="I45" s="10" t="inlineStr">
        <is>
          <t>Solution Aware</t>
        </is>
      </c>
      <c r="J45" s="10" t="inlineStr">
        <is>
          <t>Existing program, shortened URL</t>
        </is>
      </c>
      <c r="K45" s="10" t="inlineStr"/>
      <c r="L45" s="10" t="inlineStr"/>
      <c r="M45" s="8" t="inlineStr">
        <is>
          <t>/curriculum/leadership/working-styles/</t>
        </is>
      </c>
      <c r="N45" s="8" t="inlineStr"/>
      <c r="O45" s="8">
        <f>IF(N45="","",LEN(N45))</f>
        <v/>
      </c>
      <c r="P45" s="8" t="inlineStr"/>
      <c r="Q45" s="8">
        <f>IF(P45="","",LEN(P45))</f>
        <v/>
      </c>
      <c r="R45" s="10" t="inlineStr"/>
      <c r="S45" s="10" t="inlineStr"/>
      <c r="T45" s="8" t="inlineStr"/>
      <c r="U45" s="8" t="inlineStr"/>
      <c r="V45" s="10" t="inlineStr">
        <is>
          <t>See source notes / approved proof library where applicable</t>
        </is>
      </c>
      <c r="W45" s="10" t="inlineStr"/>
      <c r="X45" s="8" t="inlineStr">
        <is>
          <t>YES — 301</t>
        </is>
      </c>
      <c r="Y45" s="9" t="inlineStr">
        <is>
          <t>Existing program, shortened URL</t>
        </is>
      </c>
      <c r="Z45" s="10" t="inlineStr">
        <is>
          <t>DRAFT — HUMAN REVIEW</t>
        </is>
      </c>
      <c r="AA45" s="12" t="inlineStr">
        <is>
          <t>Metadata, Schema</t>
        </is>
      </c>
    </row>
    <row r="46">
      <c r="A46" s="8" t="inlineStr">
        <is>
          <t>NUV-P042</t>
        </is>
      </c>
      <c r="B46" s="9" t="inlineStr">
        <is>
          <t>L3</t>
        </is>
      </c>
      <c r="C46" s="9" t="inlineStr">
        <is>
          <t>Offerings</t>
        </is>
      </c>
      <c r="D46" s="9" t="inlineStr">
        <is>
          <t>Building High-Performance Teams</t>
        </is>
      </c>
      <c r="E46" s="9" t="inlineStr">
        <is>
          <t>/solutions/team-building/building-high-performance-teams/</t>
        </is>
      </c>
      <c r="F46" s="8" t="inlineStr">
        <is>
          <t>Architecture L3</t>
        </is>
      </c>
      <c r="G46" s="9" t="inlineStr">
        <is>
          <t>MOVED</t>
        </is>
      </c>
      <c r="H46" s="10" t="inlineStr">
        <is>
          <t>Product Aware</t>
        </is>
      </c>
      <c r="I46" s="10" t="inlineStr">
        <is>
          <t>Solution Aware</t>
        </is>
      </c>
      <c r="J46" s="10" t="inlineStr">
        <is>
          <t>Moved from Team Building to Leadership pillar</t>
        </is>
      </c>
      <c r="K46" s="10" t="inlineStr"/>
      <c r="L46" s="10" t="inlineStr"/>
      <c r="M46" s="8" t="inlineStr">
        <is>
          <t>/curriculum/leadership/building-high-performance-teams/</t>
        </is>
      </c>
      <c r="N46" s="8" t="inlineStr"/>
      <c r="O46" s="8">
        <f>IF(N46="","",LEN(N46))</f>
        <v/>
      </c>
      <c r="P46" s="8" t="inlineStr"/>
      <c r="Q46" s="8">
        <f>IF(P46="","",LEN(P46))</f>
        <v/>
      </c>
      <c r="R46" s="10" t="inlineStr"/>
      <c r="S46" s="10" t="inlineStr"/>
      <c r="T46" s="8" t="inlineStr"/>
      <c r="U46" s="8" t="inlineStr"/>
      <c r="V46" s="10" t="inlineStr">
        <is>
          <t>See source notes / approved proof library where applicable</t>
        </is>
      </c>
      <c r="W46" s="10" t="inlineStr"/>
      <c r="X46" s="8" t="inlineStr">
        <is>
          <t>YES — 301</t>
        </is>
      </c>
      <c r="Y46" s="9" t="inlineStr">
        <is>
          <t>Moved from Team Building to Leadership pillar</t>
        </is>
      </c>
      <c r="Z46" s="10" t="inlineStr">
        <is>
          <t>DRAFT — HUMAN REVIEW</t>
        </is>
      </c>
      <c r="AA46" s="12" t="inlineStr">
        <is>
          <t>Metadata, Schema</t>
        </is>
      </c>
    </row>
    <row r="47">
      <c r="A47" s="8" t="inlineStr">
        <is>
          <t>NUV-P043</t>
        </is>
      </c>
      <c r="B47" s="9" t="inlineStr">
        <is>
          <t>L3</t>
        </is>
      </c>
      <c r="C47" s="9" t="inlineStr">
        <is>
          <t>Offerings</t>
        </is>
      </c>
      <c r="D47" s="9" t="inlineStr">
        <is>
          <t>Virtual Coaching</t>
        </is>
      </c>
      <c r="E47" s="9" t="inlineStr">
        <is>
          <t>/solutions/coaching/virtual-coaching/</t>
        </is>
      </c>
      <c r="F47" s="8" t="inlineStr">
        <is>
          <t>Architecture L3</t>
        </is>
      </c>
      <c r="G47" s="9" t="inlineStr">
        <is>
          <t>EXISTS</t>
        </is>
      </c>
      <c r="H47" s="10" t="inlineStr">
        <is>
          <t>Product Aware</t>
        </is>
      </c>
      <c r="I47" s="10" t="inlineStr">
        <is>
          <t>Solution Aware</t>
        </is>
      </c>
      <c r="J47" s="10" t="inlineStr">
        <is>
          <t>Moved from /coaching/ to Leadership pillar</t>
        </is>
      </c>
      <c r="K47" s="10" t="inlineStr"/>
      <c r="L47" s="10" t="inlineStr"/>
      <c r="M47" s="8" t="inlineStr">
        <is>
          <t>/curriculum/leadership/virtual-coaching/</t>
        </is>
      </c>
      <c r="N47" s="8" t="inlineStr"/>
      <c r="O47" s="8">
        <f>IF(N47="","",LEN(N47))</f>
        <v/>
      </c>
      <c r="P47" s="8" t="inlineStr"/>
      <c r="Q47" s="8">
        <f>IF(P47="","",LEN(P47))</f>
        <v/>
      </c>
      <c r="R47" s="10" t="inlineStr"/>
      <c r="S47" s="10" t="inlineStr"/>
      <c r="T47" s="8" t="inlineStr"/>
      <c r="U47" s="8" t="inlineStr"/>
      <c r="V47" s="10" t="inlineStr">
        <is>
          <t>See source notes / approved proof library where applicable</t>
        </is>
      </c>
      <c r="W47" s="10" t="inlineStr"/>
      <c r="X47" s="8" t="inlineStr">
        <is>
          <t>YES — 301</t>
        </is>
      </c>
      <c r="Y47" s="9" t="inlineStr">
        <is>
          <t>Moved from /coaching/ to Leadership pillar</t>
        </is>
      </c>
      <c r="Z47" s="10" t="inlineStr">
        <is>
          <t>DRAFT — HUMAN REVIEW</t>
        </is>
      </c>
      <c r="AA47" s="12" t="inlineStr">
        <is>
          <t>Metadata, Schema</t>
        </is>
      </c>
    </row>
    <row r="48">
      <c r="A48" s="8" t="inlineStr">
        <is>
          <t>NUV-P044</t>
        </is>
      </c>
      <c r="B48" s="9" t="inlineStr">
        <is>
          <t>L3</t>
        </is>
      </c>
      <c r="C48" s="9" t="inlineStr">
        <is>
          <t>Offerings</t>
        </is>
      </c>
      <c r="D48" s="9" t="inlineStr">
        <is>
          <t>Leadership Assessments</t>
        </is>
      </c>
      <c r="E48" s="9" t="inlineStr">
        <is>
          <t>/solutions/assessments/leadership-assessments/</t>
        </is>
      </c>
      <c r="F48" s="8" t="inlineStr">
        <is>
          <t>Architecture L3</t>
        </is>
      </c>
      <c r="G48" s="9" t="inlineStr">
        <is>
          <t>MOVED</t>
        </is>
      </c>
      <c r="H48" s="10" t="inlineStr">
        <is>
          <t>Product Aware</t>
        </is>
      </c>
      <c r="I48" s="10" t="inlineStr">
        <is>
          <t>Solution Aware</t>
        </is>
      </c>
      <c r="J48" s="10" t="inlineStr">
        <is>
          <t>Existing</t>
        </is>
      </c>
      <c r="K48" s="10" t="inlineStr"/>
      <c r="L48" s="10" t="inlineStr"/>
      <c r="M48" s="8" t="inlineStr">
        <is>
          <t>/curriculum/leadership/leadership-assessments/</t>
        </is>
      </c>
      <c r="N48" s="8" t="inlineStr"/>
      <c r="O48" s="8">
        <f>IF(N48="","",LEN(N48))</f>
        <v/>
      </c>
      <c r="P48" s="8" t="inlineStr"/>
      <c r="Q48" s="8">
        <f>IF(P48="","",LEN(P48))</f>
        <v/>
      </c>
      <c r="R48" s="10" t="inlineStr"/>
      <c r="S48" s="10" t="inlineStr"/>
      <c r="T48" s="8" t="inlineStr"/>
      <c r="U48" s="8" t="inlineStr"/>
      <c r="V48" s="10" t="inlineStr">
        <is>
          <t>See source notes / approved proof library where applicable</t>
        </is>
      </c>
      <c r="W48" s="10" t="inlineStr"/>
      <c r="X48" s="8" t="inlineStr">
        <is>
          <t>YES — 301</t>
        </is>
      </c>
      <c r="Y48" s="9" t="inlineStr">
        <is>
          <t>Existing</t>
        </is>
      </c>
      <c r="Z48" s="10" t="inlineStr">
        <is>
          <t>DRAFT — HUMAN REVIEW</t>
        </is>
      </c>
      <c r="AA48" s="12" t="inlineStr">
        <is>
          <t>Metadata, Schema</t>
        </is>
      </c>
    </row>
    <row r="49">
      <c r="A49" s="8" t="inlineStr">
        <is>
          <t>NUV-P045</t>
        </is>
      </c>
      <c r="B49" s="9" t="inlineStr">
        <is>
          <t>L3</t>
        </is>
      </c>
      <c r="C49" s="9" t="inlineStr">
        <is>
          <t>Offerings</t>
        </is>
      </c>
      <c r="D49" s="9" t="inlineStr">
        <is>
          <t>ARA Navigator 360</t>
        </is>
      </c>
      <c r="E49" s="9" t="inlineStr">
        <is>
          <t>/solutions/assessments/the-ara-navigator-360/</t>
        </is>
      </c>
      <c r="F49" s="8" t="inlineStr">
        <is>
          <t>Architecture L3</t>
        </is>
      </c>
      <c r="G49" s="9" t="inlineStr">
        <is>
          <t>EXISTS</t>
        </is>
      </c>
      <c r="H49" s="10" t="inlineStr">
        <is>
          <t>Product Aware</t>
        </is>
      </c>
      <c r="I49" s="10" t="inlineStr">
        <is>
          <t>Solution Aware</t>
        </is>
      </c>
      <c r="J49" s="10" t="inlineStr">
        <is>
          <t>Existing, shortened URL</t>
        </is>
      </c>
      <c r="K49" s="10" t="inlineStr"/>
      <c r="L49" s="10" t="inlineStr"/>
      <c r="M49" s="8" t="inlineStr">
        <is>
          <t>/curriculum/leadership/ara-navigator-360/</t>
        </is>
      </c>
      <c r="N49" s="8" t="inlineStr"/>
      <c r="O49" s="8">
        <f>IF(N49="","",LEN(N49))</f>
        <v/>
      </c>
      <c r="P49" s="8" t="inlineStr"/>
      <c r="Q49" s="8">
        <f>IF(P49="","",LEN(P49))</f>
        <v/>
      </c>
      <c r="R49" s="10" t="inlineStr"/>
      <c r="S49" s="10" t="inlineStr"/>
      <c r="T49" s="8" t="inlineStr"/>
      <c r="U49" s="8" t="inlineStr"/>
      <c r="V49" s="10" t="inlineStr">
        <is>
          <t>See source notes / approved proof library where applicable</t>
        </is>
      </c>
      <c r="W49" s="10" t="inlineStr"/>
      <c r="X49" s="8" t="inlineStr">
        <is>
          <t>YES — 301</t>
        </is>
      </c>
      <c r="Y49" s="9" t="inlineStr">
        <is>
          <t>Existing, shortened URL</t>
        </is>
      </c>
      <c r="Z49" s="10" t="inlineStr">
        <is>
          <t>DRAFT — HUMAN REVIEW</t>
        </is>
      </c>
      <c r="AA49" s="12" t="inlineStr">
        <is>
          <t>Metadata, Schema</t>
        </is>
      </c>
    </row>
    <row r="50">
      <c r="A50" s="8" t="inlineStr">
        <is>
          <t>NUV-P046</t>
        </is>
      </c>
      <c r="B50" s="9" t="inlineStr">
        <is>
          <t>L2</t>
        </is>
      </c>
      <c r="C50" s="9" t="inlineStr">
        <is>
          <t>Offerings</t>
        </is>
      </c>
      <c r="D50" s="9" t="inlineStr">
        <is>
          <t>Business Acumen (Pillar)</t>
        </is>
      </c>
      <c r="E50" s="9" t="inlineStr">
        <is>
          <t>/solutions/business-acumen/</t>
        </is>
      </c>
      <c r="F50" s="8" t="inlineStr">
        <is>
          <t>Architecture L2</t>
        </is>
      </c>
      <c r="G50" s="11" t="inlineStr">
        <is>
          <t>RESTRUCTURED</t>
        </is>
      </c>
      <c r="H50" s="10" t="inlineStr">
        <is>
          <t>Solution Aware</t>
        </is>
      </c>
      <c r="I50" s="10" t="inlineStr">
        <is>
          <t>Product Aware</t>
        </is>
      </c>
      <c r="J50" s="10" t="inlineStr">
        <is>
          <t>Pillar landing — Income|Outcome + financial literacy programs</t>
        </is>
      </c>
      <c r="K50" s="10" t="inlineStr">
        <is>
          <t>Explore Relevant Solution</t>
        </is>
      </c>
      <c r="L50" s="10" t="inlineStr">
        <is>
          <t>Request a Consultation</t>
        </is>
      </c>
      <c r="M50" s="8" t="inlineStr">
        <is>
          <t>/curriculum/business-acumen/</t>
        </is>
      </c>
      <c r="N50" s="9" t="inlineStr">
        <is>
          <t>Business Acumen &amp; Financial Literacy Training | NuVue</t>
        </is>
      </c>
      <c r="O50" s="8">
        <f>IF(N50="","",LEN(N50))</f>
        <v/>
      </c>
      <c r="P50" s="9" t="inlineStr">
        <is>
          <t>Help teams understand how the business makes money. Income|Outcome simulations and finance workshops that connect daily decisions to the bottom line.</t>
        </is>
      </c>
      <c r="Q50" s="8">
        <f>IF(P50="","",LEN(P50))</f>
        <v/>
      </c>
      <c r="R50" s="10" t="inlineStr"/>
      <c r="S50" s="10" t="inlineStr">
        <is>
          <t>Business Acumen &amp; Financial Literacy Training</t>
        </is>
      </c>
      <c r="T50" s="9" t="inlineStr">
        <is>
          <t>CollectionPage, BreadcrumbList</t>
        </is>
      </c>
      <c r="U50" s="9" t="inlineStr">
        <is>
          <t>CollectionPage with ItemList of Course items. hasPart linking to program pages. BreadcrumbList.</t>
        </is>
      </c>
      <c r="V50" s="10" t="inlineStr">
        <is>
          <t>See source notes / approved proof library where applicable</t>
        </is>
      </c>
      <c r="W50" s="10" t="inlineStr"/>
      <c r="X50" s="8" t="inlineStr">
        <is>
          <t>YES — 301</t>
        </is>
      </c>
      <c r="Y50" s="9" t="inlineStr">
        <is>
          <t>Pillar landing — Income|Outcome + financial literacy programs | Pillar landing; featured program is Income|Outcome.</t>
        </is>
      </c>
      <c r="Z50" s="10" t="inlineStr">
        <is>
          <t>DRAFT — HUMAN REVIEW</t>
        </is>
      </c>
      <c r="AA50" s="10" t="inlineStr"/>
    </row>
    <row r="51">
      <c r="A51" s="8" t="inlineStr">
        <is>
          <t>NUV-P047</t>
        </is>
      </c>
      <c r="B51" s="9" t="inlineStr">
        <is>
          <t>L3</t>
        </is>
      </c>
      <c r="C51" s="9" t="inlineStr">
        <is>
          <t>Offerings</t>
        </is>
      </c>
      <c r="D51" s="9" t="inlineStr">
        <is>
          <t>Income|Outcome Business Simulation</t>
        </is>
      </c>
      <c r="E51" s="9" t="inlineStr">
        <is>
          <t>/solutions/business-acumen/business-basics/</t>
        </is>
      </c>
      <c r="F51" s="8" t="inlineStr">
        <is>
          <t>Architecture L3</t>
        </is>
      </c>
      <c r="G51" s="9" t="inlineStr">
        <is>
          <t>ENHANCED</t>
        </is>
      </c>
      <c r="H51" s="10" t="inlineStr">
        <is>
          <t>Product Aware</t>
        </is>
      </c>
      <c r="I51" s="10" t="inlineStr">
        <is>
          <t>Solution Aware</t>
        </is>
      </c>
      <c r="J51" s="10" t="inlineStr">
        <is>
          <t>Featured program — financial literacy simulation, enhanced positioning</t>
        </is>
      </c>
      <c r="K51" s="10" t="inlineStr"/>
      <c r="L51" s="10" t="inlineStr"/>
      <c r="M51" s="8" t="inlineStr">
        <is>
          <t>/curriculum/business-acumen/income-outcome/</t>
        </is>
      </c>
      <c r="N51" s="9" t="inlineStr">
        <is>
          <t>Income|Outcome Business Simulation | NuVue</t>
        </is>
      </c>
      <c r="O51" s="8">
        <f>IF(N51="","",LEN(N51))</f>
        <v/>
      </c>
      <c r="P51" s="9" t="inlineStr">
        <is>
          <t>A hands-on board simulation that teaches financial literacy by running a business. Teams learn how their decisions drive cash, profit, and growth.</t>
        </is>
      </c>
      <c r="Q51" s="8">
        <f>IF(P51="","",LEN(P51))</f>
        <v/>
      </c>
      <c r="R51" s="10" t="inlineStr"/>
      <c r="S51" s="10" t="inlineStr">
        <is>
          <t>Income|Outcome Business Simulation</t>
        </is>
      </c>
      <c r="T51" s="9" t="inlineStr">
        <is>
          <t>Course, BreadcrumbList</t>
        </is>
      </c>
      <c r="U51" s="9" t="inlineStr">
        <is>
          <t>Course: name, description, provider, hasCourseInstance (courseMode: onsite/blended). BreadcrumbList.</t>
        </is>
      </c>
      <c r="V51" s="10" t="inlineStr">
        <is>
          <t>See source notes / approved proof library where applicable</t>
        </is>
      </c>
      <c r="W51" s="10" t="inlineStr"/>
      <c r="X51" s="8" t="inlineStr">
        <is>
          <t>YES — 301</t>
        </is>
      </c>
      <c r="Y51" s="9" t="inlineStr">
        <is>
          <t>Featured program — financial literacy simulation, enhanced positioning | Featured business-acumen program.</t>
        </is>
      </c>
      <c r="Z51" s="10" t="inlineStr">
        <is>
          <t>DRAFT — HUMAN REVIEW</t>
        </is>
      </c>
      <c r="AA51" s="10" t="inlineStr"/>
    </row>
    <row r="52">
      <c r="A52" s="8" t="inlineStr">
        <is>
          <t>NUV-P048</t>
        </is>
      </c>
      <c r="B52" s="9" t="inlineStr">
        <is>
          <t>L3</t>
        </is>
      </c>
      <c r="C52" s="9" t="inlineStr">
        <is>
          <t>Offerings</t>
        </is>
      </c>
      <c r="D52" s="9" t="inlineStr">
        <is>
          <t>Finance for Sales Professionals</t>
        </is>
      </c>
      <c r="E52" s="9" t="inlineStr">
        <is>
          <t>/solutions/business-acumen/finance-for-sales-professionals/</t>
        </is>
      </c>
      <c r="F52" s="8" t="inlineStr">
        <is>
          <t>Architecture L3</t>
        </is>
      </c>
      <c r="G52" s="9" t="inlineStr">
        <is>
          <t>EXISTS</t>
        </is>
      </c>
      <c r="H52" s="10" t="inlineStr">
        <is>
          <t>Product Aware / Most Aware</t>
        </is>
      </c>
      <c r="I52" s="10" t="inlineStr">
        <is>
          <t>Solution Aware</t>
        </is>
      </c>
      <c r="J52" s="10" t="inlineStr">
        <is>
          <t>Existing program</t>
        </is>
      </c>
      <c r="K52" s="10" t="inlineStr"/>
      <c r="L52" s="10" t="inlineStr"/>
      <c r="M52" s="8" t="inlineStr">
        <is>
          <t>/curriculum/business-acumen/finance-for-sales-professionals/</t>
        </is>
      </c>
      <c r="N52" s="8" t="inlineStr"/>
      <c r="O52" s="8">
        <f>IF(N52="","",LEN(N52))</f>
        <v/>
      </c>
      <c r="P52" s="8" t="inlineStr"/>
      <c r="Q52" s="8">
        <f>IF(P52="","",LEN(P52))</f>
        <v/>
      </c>
      <c r="R52" s="10" t="inlineStr"/>
      <c r="S52" s="10" t="inlineStr"/>
      <c r="T52" s="8" t="inlineStr"/>
      <c r="U52" s="8" t="inlineStr"/>
      <c r="V52" s="10" t="inlineStr">
        <is>
          <t>See source notes / approved proof library where applicable</t>
        </is>
      </c>
      <c r="W52" s="10" t="inlineStr"/>
      <c r="X52" s="8" t="inlineStr">
        <is>
          <t>YES — 301</t>
        </is>
      </c>
      <c r="Y52" s="9" t="inlineStr">
        <is>
          <t>Existing program</t>
        </is>
      </c>
      <c r="Z52" s="10" t="inlineStr">
        <is>
          <t>DRAFT — HUMAN REVIEW</t>
        </is>
      </c>
      <c r="AA52" s="12" t="inlineStr">
        <is>
          <t>Metadata, Schema</t>
        </is>
      </c>
    </row>
    <row r="53">
      <c r="A53" s="8" t="inlineStr">
        <is>
          <t>NUV-P049</t>
        </is>
      </c>
      <c r="B53" s="9" t="inlineStr">
        <is>
          <t>L3</t>
        </is>
      </c>
      <c r="C53" s="9" t="inlineStr">
        <is>
          <t>Offerings</t>
        </is>
      </c>
      <c r="D53" s="9" t="inlineStr">
        <is>
          <t>Finance for Managers &amp; Executives</t>
        </is>
      </c>
      <c r="E53" s="9" t="inlineStr">
        <is>
          <t>/solutions/business-acumen/finance-for-managers-and-executives/</t>
        </is>
      </c>
      <c r="F53" s="8" t="inlineStr">
        <is>
          <t>Architecture L3</t>
        </is>
      </c>
      <c r="G53" s="9" t="inlineStr">
        <is>
          <t>EXISTS</t>
        </is>
      </c>
      <c r="H53" s="10" t="inlineStr">
        <is>
          <t>Product Aware</t>
        </is>
      </c>
      <c r="I53" s="10" t="inlineStr">
        <is>
          <t>Solution Aware</t>
        </is>
      </c>
      <c r="J53" s="10" t="inlineStr">
        <is>
          <t>Existing program</t>
        </is>
      </c>
      <c r="K53" s="10" t="inlineStr"/>
      <c r="L53" s="10" t="inlineStr"/>
      <c r="M53" s="8" t="inlineStr">
        <is>
          <t>/curriculum/business-acumen/finance-for-managers-and-executives/</t>
        </is>
      </c>
      <c r="N53" s="8" t="inlineStr"/>
      <c r="O53" s="8">
        <f>IF(N53="","",LEN(N53))</f>
        <v/>
      </c>
      <c r="P53" s="8" t="inlineStr"/>
      <c r="Q53" s="8">
        <f>IF(P53="","",LEN(P53))</f>
        <v/>
      </c>
      <c r="R53" s="10" t="inlineStr"/>
      <c r="S53" s="10" t="inlineStr"/>
      <c r="T53" s="8" t="inlineStr"/>
      <c r="U53" s="8" t="inlineStr"/>
      <c r="V53" s="10" t="inlineStr">
        <is>
          <t>See source notes / approved proof library where applicable</t>
        </is>
      </c>
      <c r="W53" s="10" t="inlineStr"/>
      <c r="X53" s="8" t="inlineStr">
        <is>
          <t>YES — 301</t>
        </is>
      </c>
      <c r="Y53" s="9" t="inlineStr">
        <is>
          <t>Existing program</t>
        </is>
      </c>
      <c r="Z53" s="10" t="inlineStr">
        <is>
          <t>DRAFT — HUMAN REVIEW</t>
        </is>
      </c>
      <c r="AA53" s="12" t="inlineStr">
        <is>
          <t>Metadata, Schema</t>
        </is>
      </c>
    </row>
    <row r="54">
      <c r="A54" s="8" t="inlineStr">
        <is>
          <t>NUV-P050</t>
        </is>
      </c>
      <c r="B54" s="9" t="inlineStr">
        <is>
          <t>L3</t>
        </is>
      </c>
      <c r="C54" s="9" t="inlineStr">
        <is>
          <t>Offerings</t>
        </is>
      </c>
      <c r="D54" s="9" t="inlineStr">
        <is>
          <t>Finance for Everyone</t>
        </is>
      </c>
      <c r="E54" s="9" t="inlineStr">
        <is>
          <t>/solutions/business-acumen/finance-for-everyone/</t>
        </is>
      </c>
      <c r="F54" s="8" t="inlineStr">
        <is>
          <t>Architecture L3</t>
        </is>
      </c>
      <c r="G54" s="9" t="inlineStr">
        <is>
          <t>EXISTS</t>
        </is>
      </c>
      <c r="H54" s="10" t="inlineStr">
        <is>
          <t>Product Aware</t>
        </is>
      </c>
      <c r="I54" s="10" t="inlineStr">
        <is>
          <t>Solution Aware</t>
        </is>
      </c>
      <c r="J54" s="10" t="inlineStr">
        <is>
          <t>Existing program</t>
        </is>
      </c>
      <c r="K54" s="10" t="inlineStr"/>
      <c r="L54" s="10" t="inlineStr"/>
      <c r="M54" s="8" t="inlineStr">
        <is>
          <t>/curriculum/business-acumen/finance-for-everyone/</t>
        </is>
      </c>
      <c r="N54" s="8" t="inlineStr"/>
      <c r="O54" s="8">
        <f>IF(N54="","",LEN(N54))</f>
        <v/>
      </c>
      <c r="P54" s="8" t="inlineStr"/>
      <c r="Q54" s="8">
        <f>IF(P54="","",LEN(P54))</f>
        <v/>
      </c>
      <c r="R54" s="10" t="inlineStr"/>
      <c r="S54" s="10" t="inlineStr"/>
      <c r="T54" s="8" t="inlineStr"/>
      <c r="U54" s="8" t="inlineStr"/>
      <c r="V54" s="10" t="inlineStr">
        <is>
          <t>See source notes / approved proof library where applicable</t>
        </is>
      </c>
      <c r="W54" s="10" t="inlineStr"/>
      <c r="X54" s="8" t="inlineStr">
        <is>
          <t>YES — 301</t>
        </is>
      </c>
      <c r="Y54" s="9" t="inlineStr">
        <is>
          <t>Existing program</t>
        </is>
      </c>
      <c r="Z54" s="10" t="inlineStr">
        <is>
          <t>DRAFT — HUMAN REVIEW</t>
        </is>
      </c>
      <c r="AA54" s="12" t="inlineStr">
        <is>
          <t>Metadata, Schema</t>
        </is>
      </c>
    </row>
    <row r="55">
      <c r="A55" s="8" t="inlineStr">
        <is>
          <t>NUV-P051</t>
        </is>
      </c>
      <c r="B55" s="9" t="inlineStr">
        <is>
          <t>L1</t>
        </is>
      </c>
      <c r="C55" s="9" t="inlineStr">
        <is>
          <t>Offerings</t>
        </is>
      </c>
      <c r="D55" s="9" t="inlineStr">
        <is>
          <t>Team Building</t>
        </is>
      </c>
      <c r="E55" s="9" t="inlineStr">
        <is>
          <t>/solutions/team-building/</t>
        </is>
      </c>
      <c r="F55" s="8" t="inlineStr">
        <is>
          <t>Architecture L1</t>
        </is>
      </c>
      <c r="G55" s="9" t="inlineStr">
        <is>
          <t>EXISTS</t>
        </is>
      </c>
      <c r="H55" s="10" t="inlineStr">
        <is>
          <t>TBD — HUMAN REVIEW</t>
        </is>
      </c>
      <c r="I55" s="10" t="inlineStr"/>
      <c r="J55" s="10" t="inlineStr">
        <is>
          <t>Programs absorbed into Leadership pillar</t>
        </is>
      </c>
      <c r="K55" s="10" t="inlineStr"/>
      <c r="L55" s="10" t="inlineStr"/>
      <c r="M55" s="8" t="inlineStr"/>
      <c r="N55" s="8" t="inlineStr"/>
      <c r="O55" s="8">
        <f>IF(N55="","",LEN(N55))</f>
        <v/>
      </c>
      <c r="P55" s="8" t="inlineStr"/>
      <c r="Q55" s="8">
        <f>IF(P55="","",LEN(P55))</f>
        <v/>
      </c>
      <c r="R55" s="10" t="inlineStr"/>
      <c r="S55" s="10" t="inlineStr"/>
      <c r="T55" s="8" t="inlineStr"/>
      <c r="U55" s="8" t="inlineStr"/>
      <c r="V55" s="10" t="inlineStr">
        <is>
          <t>See source notes / approved proof library where applicable</t>
        </is>
      </c>
      <c r="W55" s="10" t="inlineStr"/>
      <c r="X55" s="8" t="inlineStr"/>
      <c r="Y55" s="9" t="inlineStr">
        <is>
          <t>Programs absorbed into Leadership pillar</t>
        </is>
      </c>
      <c r="Z55" s="10" t="inlineStr">
        <is>
          <t>DRAFT — HUMAN REVIEW</t>
        </is>
      </c>
      <c r="AA55" s="12" t="inlineStr">
        <is>
          <t>Buyer intent, Metadata, Schema</t>
        </is>
      </c>
    </row>
    <row r="56">
      <c r="A56" s="8" t="inlineStr">
        <is>
          <t>NUV-P052</t>
        </is>
      </c>
      <c r="B56" s="9" t="inlineStr">
        <is>
          <t>L1</t>
        </is>
      </c>
      <c r="C56" s="9" t="inlineStr">
        <is>
          <t>Offerings</t>
        </is>
      </c>
      <c r="D56" s="9" t="inlineStr">
        <is>
          <t>Industries We Serve</t>
        </is>
      </c>
      <c r="E56" s="9" t="inlineStr">
        <is>
          <t>/industries-we-serve/</t>
        </is>
      </c>
      <c r="F56" s="8" t="inlineStr">
        <is>
          <t>Architecture L1</t>
        </is>
      </c>
      <c r="G56" s="9" t="inlineStr">
        <is>
          <t>ENHANCED</t>
        </is>
      </c>
      <c r="H56" s="10" t="inlineStr">
        <is>
          <t>Solution Aware</t>
        </is>
      </c>
      <c r="I56" s="10" t="inlineStr">
        <is>
          <t>Product Aware</t>
        </is>
      </c>
      <c r="J56" s="10" t="inlineStr">
        <is>
          <t>Problem-first landing pages for each vertical</t>
        </is>
      </c>
      <c r="K56" s="10" t="inlineStr"/>
      <c r="L56" s="10" t="inlineStr"/>
      <c r="M56" s="8" t="inlineStr">
        <is>
          <t>/industries/</t>
        </is>
      </c>
      <c r="N56" s="9" t="inlineStr">
        <is>
          <t>Industries We Serve | Sales Training | NuVue</t>
        </is>
      </c>
      <c r="O56" s="8">
        <f>IF(N56="","",LEN(N56))</f>
        <v/>
      </c>
      <c r="P56" s="9" t="inlineStr">
        <is>
          <t>Industry-specific sales and leadership training for agriculture, manufacturing, insurance, healthcare, and more. Programs tailored to your market.</t>
        </is>
      </c>
      <c r="Q56" s="8">
        <f>IF(P56="","",LEN(P56))</f>
        <v/>
      </c>
      <c r="R56" s="10" t="inlineStr"/>
      <c r="S56" s="10" t="inlineStr">
        <is>
          <t>Industries We Serve | Sales Training</t>
        </is>
      </c>
      <c r="T56" s="9" t="inlineStr">
        <is>
          <t>CollectionPage, BreadcrumbList</t>
        </is>
      </c>
      <c r="U56" s="9" t="inlineStr">
        <is>
          <t>CollectionPage with ItemList of the six industry pages. BreadcrumbList.</t>
        </is>
      </c>
      <c r="V56" s="10" t="inlineStr">
        <is>
          <t>See source notes / approved proof library where applicable</t>
        </is>
      </c>
      <c r="W56" s="10" t="inlineStr"/>
      <c r="X56" s="8" t="inlineStr">
        <is>
          <t>YES — 301</t>
        </is>
      </c>
      <c r="Y56" s="9" t="inlineStr">
        <is>
          <t>Problem-first landing pages for each vertical | Problem-first vertical hub.</t>
        </is>
      </c>
      <c r="Z56" s="10" t="inlineStr">
        <is>
          <t>DRAFT — HUMAN REVIEW</t>
        </is>
      </c>
      <c r="AA56" s="10" t="inlineStr"/>
    </row>
    <row r="57">
      <c r="A57" s="8" t="inlineStr">
        <is>
          <t>NUV-P053</t>
        </is>
      </c>
      <c r="B57" s="9" t="inlineStr">
        <is>
          <t>L2</t>
        </is>
      </c>
      <c r="C57" s="9" t="inlineStr">
        <is>
          <t>Offerings</t>
        </is>
      </c>
      <c r="D57" s="9" t="inlineStr">
        <is>
          <t>Agriculture</t>
        </is>
      </c>
      <c r="E57" s="9" t="inlineStr">
        <is>
          <t>/industries-we-serve/agriculture/</t>
        </is>
      </c>
      <c r="F57" s="8" t="inlineStr">
        <is>
          <t>Architecture L2</t>
        </is>
      </c>
      <c r="G57" s="9" t="inlineStr">
        <is>
          <t>ENHANCED</t>
        </is>
      </c>
      <c r="H57" s="10" t="inlineStr">
        <is>
          <t>TBD — HUMAN REVIEW</t>
        </is>
      </c>
      <c r="I57" s="10" t="inlineStr"/>
      <c r="J57" s="10" t="inlineStr">
        <is>
          <t>CSP Ag Edition featured, BASF expertise, ag-specific case studies</t>
        </is>
      </c>
      <c r="K57" s="10" t="inlineStr"/>
      <c r="L57" s="10" t="inlineStr"/>
      <c r="M57" s="8" t="inlineStr">
        <is>
          <t>/industries/agriculture/</t>
        </is>
      </c>
      <c r="N57" s="9" t="inlineStr">
        <is>
          <t>Agriculture Sales Training | NuVue</t>
        </is>
      </c>
      <c r="O57" s="8">
        <f>IF(N57="","",LEN(N57))</f>
        <v/>
      </c>
      <c r="P57" s="9" t="inlineStr">
        <is>
          <t>Sales training built for agriculture, from agronomy sales onboarding to the Counselor Salesperson Ag Edition. Backed by deep ag-industry experience.</t>
        </is>
      </c>
      <c r="Q57" s="8">
        <f>IF(P57="","",LEN(P57))</f>
        <v/>
      </c>
      <c r="R57" s="10" t="inlineStr"/>
      <c r="S57" s="10" t="inlineStr">
        <is>
          <t>Agriculture Sales Training</t>
        </is>
      </c>
      <c r="T57" s="9" t="inlineStr">
        <is>
          <t>Service, BreadcrumbList</t>
        </is>
      </c>
      <c r="U57" s="9" t="inlineStr">
        <is>
          <t>Service: serviceType, provider, areaServed, audience (agriculture/agronomy sales). BreadcrumbList. Optional Offer for Ag Onboarding ($12,000/yr).</t>
        </is>
      </c>
      <c r="V57" s="10" t="inlineStr">
        <is>
          <t>See source notes / approved proof library where applicable</t>
        </is>
      </c>
      <c r="W57" s="10" t="inlineStr"/>
      <c r="X57" s="8" t="inlineStr">
        <is>
          <t>YES — 301</t>
        </is>
      </c>
      <c r="Y57" s="9" t="inlineStr">
        <is>
          <t>CSP Ag Edition featured, BASF expertise, ag-specific case studies | Strongest vertical. BASF/ag heritage; CSP Ag Edition featured.</t>
        </is>
      </c>
      <c r="Z57" s="10" t="inlineStr">
        <is>
          <t>DRAFT — HUMAN REVIEW</t>
        </is>
      </c>
      <c r="AA57" s="12" t="inlineStr">
        <is>
          <t>Buyer intent</t>
        </is>
      </c>
    </row>
    <row r="58">
      <c r="A58" s="8" t="inlineStr">
        <is>
          <t>NUV-P054</t>
        </is>
      </c>
      <c r="B58" s="9" t="inlineStr">
        <is>
          <t>L2</t>
        </is>
      </c>
      <c r="C58" s="9" t="inlineStr">
        <is>
          <t>Offerings</t>
        </is>
      </c>
      <c r="D58" s="9" t="inlineStr">
        <is>
          <t>Manufacturing</t>
        </is>
      </c>
      <c r="E58" s="9" t="inlineStr">
        <is>
          <t>/industries-we-serve/manufacturing/</t>
        </is>
      </c>
      <c r="F58" s="8" t="inlineStr">
        <is>
          <t>Architecture L2</t>
        </is>
      </c>
      <c r="G58" s="9" t="inlineStr">
        <is>
          <t>ENHANCED</t>
        </is>
      </c>
      <c r="H58" s="10" t="inlineStr">
        <is>
          <t>TBD — HUMAN REVIEW</t>
        </is>
      </c>
      <c r="I58" s="10" t="inlineStr"/>
      <c r="J58" s="10" t="inlineStr">
        <is>
          <t>Industry-specific messaging and case studies</t>
        </is>
      </c>
      <c r="K58" s="10" t="inlineStr"/>
      <c r="L58" s="10" t="inlineStr"/>
      <c r="M58" s="8" t="inlineStr">
        <is>
          <t>/industries/manufacturing/</t>
        </is>
      </c>
      <c r="N58" s="9" t="inlineStr">
        <is>
          <t>Manufacturing Sales Training | NuVue</t>
        </is>
      </c>
      <c r="O58" s="8">
        <f>IF(N58="","",LEN(N58))</f>
        <v/>
      </c>
      <c r="P58" s="9" t="inlineStr">
        <is>
          <t>Sales and leadership training for manufacturers. Help technical sales teams sell value, manage complex deals, and build stronger customer relationships.</t>
        </is>
      </c>
      <c r="Q58" s="8">
        <f>IF(P58="","",LEN(P58))</f>
        <v/>
      </c>
      <c r="R58" s="10" t="inlineStr"/>
      <c r="S58" s="10" t="inlineStr">
        <is>
          <t>Manufacturing Sales Training</t>
        </is>
      </c>
      <c r="T58" s="9" t="inlineStr">
        <is>
          <t>Service, BreadcrumbList</t>
        </is>
      </c>
      <c r="U58" s="9" t="inlineStr">
        <is>
          <t>Service: serviceType, provider, areaServed (Manufacturing), audience. BreadcrumbList.</t>
        </is>
      </c>
      <c r="V58" s="10" t="inlineStr">
        <is>
          <t>See source notes / approved proof library where applicable</t>
        </is>
      </c>
      <c r="W58" s="10" t="inlineStr"/>
      <c r="X58" s="8" t="inlineStr">
        <is>
          <t>YES — 301</t>
        </is>
      </c>
      <c r="Y58" s="9" t="inlineStr">
        <is>
          <t>Industry-specific messaging and case studies | Industry-specific messaging + case studies.</t>
        </is>
      </c>
      <c r="Z58" s="10" t="inlineStr">
        <is>
          <t>DRAFT — HUMAN REVIEW</t>
        </is>
      </c>
      <c r="AA58" s="12" t="inlineStr">
        <is>
          <t>Buyer intent</t>
        </is>
      </c>
    </row>
    <row r="59">
      <c r="A59" s="8" t="inlineStr">
        <is>
          <t>NUV-P055</t>
        </is>
      </c>
      <c r="B59" s="9" t="inlineStr">
        <is>
          <t>L2</t>
        </is>
      </c>
      <c r="C59" s="9" t="inlineStr">
        <is>
          <t>Offerings</t>
        </is>
      </c>
      <c r="D59" s="9" t="inlineStr">
        <is>
          <t>Insurance &amp; Financial Services</t>
        </is>
      </c>
      <c r="E59" s="9" t="inlineStr">
        <is>
          <t>/industries-we-serve/financial-services-and-insurance/</t>
        </is>
      </c>
      <c r="F59" s="8" t="inlineStr">
        <is>
          <t>Architecture L2</t>
        </is>
      </c>
      <c r="G59" s="9" t="inlineStr">
        <is>
          <t>ENHANCED</t>
        </is>
      </c>
      <c r="H59" s="10" t="inlineStr">
        <is>
          <t>TBD — HUMAN REVIEW</t>
        </is>
      </c>
      <c r="I59" s="10" t="inlineStr"/>
      <c r="J59" s="10" t="inlineStr">
        <is>
          <t>Combined vertical with tailored content</t>
        </is>
      </c>
      <c r="K59" s="10" t="inlineStr"/>
      <c r="L59" s="10" t="inlineStr"/>
      <c r="M59" s="8" t="inlineStr">
        <is>
          <t>/industries/insurance-financial-services/</t>
        </is>
      </c>
      <c r="N59" s="9" t="inlineStr">
        <is>
          <t>Insurance &amp; Financial Services Sales Training | NuVue</t>
        </is>
      </c>
      <c r="O59" s="8">
        <f>IF(N59="","",LEN(N59))</f>
        <v/>
      </c>
      <c r="P59" s="9" t="inlineStr">
        <is>
          <t>Consultative sales training for insurance and financial services teams. Build trust, navigate compliance, and turn advisors into trusted partners.</t>
        </is>
      </c>
      <c r="Q59" s="8">
        <f>IF(P59="","",LEN(P59))</f>
        <v/>
      </c>
      <c r="R59" s="10" t="inlineStr"/>
      <c r="S59" s="10" t="inlineStr">
        <is>
          <t>Insurance &amp; Financial Services Sales Training</t>
        </is>
      </c>
      <c r="T59" s="9" t="inlineStr">
        <is>
          <t>Service, BreadcrumbList</t>
        </is>
      </c>
      <c r="U59" s="9" t="inlineStr">
        <is>
          <t>Service: serviceType, provider, areaServed, audience. BreadcrumbList.</t>
        </is>
      </c>
      <c r="V59" s="10" t="inlineStr">
        <is>
          <t>See source notes / approved proof library where applicable</t>
        </is>
      </c>
      <c r="W59" s="10" t="inlineStr"/>
      <c r="X59" s="8" t="inlineStr">
        <is>
          <t>YES — 301</t>
        </is>
      </c>
      <c r="Y59" s="9" t="inlineStr">
        <is>
          <t>Combined vertical with tailored content | Combined vertical.</t>
        </is>
      </c>
      <c r="Z59" s="10" t="inlineStr">
        <is>
          <t>DRAFT — HUMAN REVIEW</t>
        </is>
      </c>
      <c r="AA59" s="12" t="inlineStr">
        <is>
          <t>Buyer intent</t>
        </is>
      </c>
    </row>
    <row r="60">
      <c r="A60" s="8" t="inlineStr">
        <is>
          <t>NUV-P056</t>
        </is>
      </c>
      <c r="B60" s="9" t="inlineStr">
        <is>
          <t>L2</t>
        </is>
      </c>
      <c r="C60" s="9" t="inlineStr">
        <is>
          <t>Offerings</t>
        </is>
      </c>
      <c r="D60" s="9" t="inlineStr">
        <is>
          <t>Turf &amp; Horticulture</t>
        </is>
      </c>
      <c r="E60" s="9" t="inlineStr">
        <is>
          <t>/industries-we-serve/turf-horticulture/</t>
        </is>
      </c>
      <c r="F60" s="8" t="inlineStr">
        <is>
          <t>Architecture L2</t>
        </is>
      </c>
      <c r="G60" s="9" t="inlineStr">
        <is>
          <t>EXISTS</t>
        </is>
      </c>
      <c r="H60" s="10" t="inlineStr">
        <is>
          <t>TBD — HUMAN REVIEW</t>
        </is>
      </c>
      <c r="I60" s="10" t="inlineStr"/>
      <c r="J60" s="10" t="inlineStr">
        <is>
          <t>Existing vertical</t>
        </is>
      </c>
      <c r="K60" s="10" t="inlineStr"/>
      <c r="L60" s="10" t="inlineStr"/>
      <c r="M60" s="8" t="inlineStr">
        <is>
          <t>/industries/turf-horticulture/</t>
        </is>
      </c>
      <c r="N60" s="9" t="inlineStr">
        <is>
          <t>Turf &amp; Horticulture Sales Training | NuVue</t>
        </is>
      </c>
      <c r="O60" s="8">
        <f>IF(N60="","",LEN(N60))</f>
        <v/>
      </c>
      <c r="P60" s="9" t="inlineStr">
        <is>
          <t>Sales training tailored to turf and horticulture suppliers. Help technical reps sell value, build grower relationships, and grow account revenue.</t>
        </is>
      </c>
      <c r="Q60" s="8">
        <f>IF(P60="","",LEN(P60))</f>
        <v/>
      </c>
      <c r="R60" s="10" t="inlineStr"/>
      <c r="S60" s="10" t="inlineStr">
        <is>
          <t>Turf &amp; Horticulture Sales Training</t>
        </is>
      </c>
      <c r="T60" s="9" t="inlineStr">
        <is>
          <t>Service, BreadcrumbList</t>
        </is>
      </c>
      <c r="U60" s="9" t="inlineStr">
        <is>
          <t>Service: serviceType, provider, areaServed, audience. BreadcrumbList.</t>
        </is>
      </c>
      <c r="V60" s="10" t="inlineStr">
        <is>
          <t>See source notes / approved proof library where applicable</t>
        </is>
      </c>
      <c r="W60" s="10" t="inlineStr"/>
      <c r="X60" s="8" t="inlineStr">
        <is>
          <t>YES — 301</t>
        </is>
      </c>
      <c r="Y60" s="9" t="inlineStr">
        <is>
          <t>Existing vertical | Niche vertical adjacent to Agriculture.</t>
        </is>
      </c>
      <c r="Z60" s="10" t="inlineStr">
        <is>
          <t>DRAFT — HUMAN REVIEW</t>
        </is>
      </c>
      <c r="AA60" s="12" t="inlineStr">
        <is>
          <t>Buyer intent</t>
        </is>
      </c>
    </row>
    <row r="61">
      <c r="A61" s="8" t="inlineStr">
        <is>
          <t>NUV-P057</t>
        </is>
      </c>
      <c r="B61" s="9" t="inlineStr">
        <is>
          <t>L2</t>
        </is>
      </c>
      <c r="C61" s="9" t="inlineStr">
        <is>
          <t>Offerings</t>
        </is>
      </c>
      <c r="D61" s="9" t="inlineStr">
        <is>
          <t>Sales &amp; Services</t>
        </is>
      </c>
      <c r="E61" s="9" t="inlineStr">
        <is>
          <t>/industries-we-serve/sales-and-services/</t>
        </is>
      </c>
      <c r="F61" s="8" t="inlineStr">
        <is>
          <t>Architecture L2</t>
        </is>
      </c>
      <c r="G61" s="9" t="inlineStr">
        <is>
          <t>EXISTS</t>
        </is>
      </c>
      <c r="H61" s="10" t="inlineStr">
        <is>
          <t>TBD — HUMAN REVIEW</t>
        </is>
      </c>
      <c r="I61" s="10" t="inlineStr"/>
      <c r="J61" s="10" t="inlineStr">
        <is>
          <t>Existing vertical</t>
        </is>
      </c>
      <c r="K61" s="10" t="inlineStr"/>
      <c r="L61" s="10" t="inlineStr"/>
      <c r="M61" s="8" t="inlineStr">
        <is>
          <t>/industries/sales-and-services/</t>
        </is>
      </c>
      <c r="N61" s="9" t="inlineStr">
        <is>
          <t>Sales &amp; Services Industry Training | NuVue</t>
        </is>
      </c>
      <c r="O61" s="8">
        <f>IF(N61="","",LEN(N61))</f>
        <v/>
      </c>
      <c r="P61" s="9" t="inlineStr">
        <is>
          <t>Consultative sales training for sales and service organizations. Turn every customer interaction into a chance to add value and grow revenue.</t>
        </is>
      </c>
      <c r="Q61" s="8">
        <f>IF(P61="","",LEN(P61))</f>
        <v/>
      </c>
      <c r="R61" s="10" t="inlineStr"/>
      <c r="S61" s="10" t="inlineStr">
        <is>
          <t>Sales &amp; Services Industry Training</t>
        </is>
      </c>
      <c r="T61" s="9" t="inlineStr">
        <is>
          <t>Service, BreadcrumbList</t>
        </is>
      </c>
      <c r="U61" s="9" t="inlineStr">
        <is>
          <t>Service: serviceType, provider, areaServed, audience. BreadcrumbList.</t>
        </is>
      </c>
      <c r="V61" s="10" t="inlineStr">
        <is>
          <t>See source notes / approved proof library where applicable</t>
        </is>
      </c>
      <c r="W61" s="10" t="inlineStr"/>
      <c r="X61" s="8" t="inlineStr">
        <is>
          <t>YES — 301</t>
        </is>
      </c>
      <c r="Y61" s="9" t="inlineStr">
        <is>
          <t>Existing vertical | Broad services vertical.</t>
        </is>
      </c>
      <c r="Z61" s="10" t="inlineStr">
        <is>
          <t>DRAFT — HUMAN REVIEW</t>
        </is>
      </c>
      <c r="AA61" s="12" t="inlineStr">
        <is>
          <t>Buyer intent</t>
        </is>
      </c>
    </row>
    <row r="62">
      <c r="A62" s="8" t="inlineStr">
        <is>
          <t>NUV-P058</t>
        </is>
      </c>
      <c r="B62" s="9" t="inlineStr">
        <is>
          <t>L2</t>
        </is>
      </c>
      <c r="C62" s="9" t="inlineStr">
        <is>
          <t>Offerings</t>
        </is>
      </c>
      <c r="D62" s="9" t="inlineStr">
        <is>
          <t>Healthcare, Science &amp; Biotech</t>
        </is>
      </c>
      <c r="E62" s="9" t="inlineStr">
        <is>
          <t>/industries-we-serve/healthcare-science-biotech/</t>
        </is>
      </c>
      <c r="F62" s="8" t="inlineStr">
        <is>
          <t>Architecture L2</t>
        </is>
      </c>
      <c r="G62" s="9" t="inlineStr">
        <is>
          <t>EXISTS</t>
        </is>
      </c>
      <c r="H62" s="10" t="inlineStr">
        <is>
          <t>TBD — HUMAN REVIEW</t>
        </is>
      </c>
      <c r="I62" s="10" t="inlineStr"/>
      <c r="J62" s="10" t="inlineStr">
        <is>
          <t>Existing vertical</t>
        </is>
      </c>
      <c r="K62" s="10" t="inlineStr"/>
      <c r="L62" s="10" t="inlineStr"/>
      <c r="M62" s="8" t="inlineStr">
        <is>
          <t>/industries/healthcare-science-biotech/</t>
        </is>
      </c>
      <c r="N62" s="9" t="inlineStr">
        <is>
          <t>Healthcare, Science &amp; Biotech Sales Training | NuVue</t>
        </is>
      </c>
      <c r="O62" s="8">
        <f>IF(N62="","",LEN(N62))</f>
        <v/>
      </c>
      <c r="P62" s="9" t="inlineStr">
        <is>
          <t>Specialized sales training for healthcare, science, and biotech teams. Communicate complex value to technical buyers and build lasting relationships.</t>
        </is>
      </c>
      <c r="Q62" s="8">
        <f>IF(P62="","",LEN(P62))</f>
        <v/>
      </c>
      <c r="R62" s="10" t="inlineStr"/>
      <c r="S62" s="10" t="inlineStr">
        <is>
          <t>Healthcare, Science &amp; Biotech Sales Training</t>
        </is>
      </c>
      <c r="T62" s="9" t="inlineStr">
        <is>
          <t>Service, BreadcrumbList</t>
        </is>
      </c>
      <c r="U62" s="9" t="inlineStr">
        <is>
          <t>Service: serviceType, provider, areaServed, audience. BreadcrumbList.</t>
        </is>
      </c>
      <c r="V62" s="10" t="inlineStr">
        <is>
          <t>See source notes / approved proof library where applicable</t>
        </is>
      </c>
      <c r="W62" s="10" t="inlineStr"/>
      <c r="X62" s="8" t="inlineStr">
        <is>
          <t>YES — 301</t>
        </is>
      </c>
      <c r="Y62" s="9" t="inlineStr">
        <is>
          <t>Existing vertical | Technical-buyer vertical.</t>
        </is>
      </c>
      <c r="Z62" s="10" t="inlineStr">
        <is>
          <t>DRAFT — HUMAN REVIEW</t>
        </is>
      </c>
      <c r="AA62" s="12" t="inlineStr">
        <is>
          <t>Buyer intent</t>
        </is>
      </c>
    </row>
    <row r="63">
      <c r="A63" s="8" t="inlineStr">
        <is>
          <t>NUV-P059</t>
        </is>
      </c>
      <c r="B63" s="9" t="inlineStr">
        <is>
          <t>L1</t>
        </is>
      </c>
      <c r="C63" s="9" t="inlineStr">
        <is>
          <t>Offerings</t>
        </is>
      </c>
      <c r="D63" s="9" t="inlineStr">
        <is>
          <t>Resources</t>
        </is>
      </c>
      <c r="E63" s="9" t="inlineStr"/>
      <c r="F63" s="8" t="inlineStr">
        <is>
          <t>Architecture L1</t>
        </is>
      </c>
      <c r="G63" s="11" t="inlineStr">
        <is>
          <t>RESTRUCTURED</t>
        </is>
      </c>
      <c r="H63" s="10" t="inlineStr">
        <is>
          <t>Symptom Aware</t>
        </is>
      </c>
      <c r="I63" s="10" t="inlineStr">
        <is>
          <t>Unaware / Problem Aware</t>
        </is>
      </c>
      <c r="J63" s="10" t="inlineStr">
        <is>
          <t>Content hub for SEO/AEO visibility</t>
        </is>
      </c>
      <c r="K63" s="10" t="inlineStr">
        <is>
          <t>Read / Explore</t>
        </is>
      </c>
      <c r="L63" s="10" t="inlineStr"/>
      <c r="M63" s="8" t="inlineStr">
        <is>
          <t>/resources/</t>
        </is>
      </c>
      <c r="N63" s="9" t="inlineStr">
        <is>
          <t>Sales Training Resources &amp; Insights | NuVue</t>
        </is>
      </c>
      <c r="O63" s="8">
        <f>IF(N63="","",LEN(N63))</f>
        <v/>
      </c>
      <c r="P63" s="9" t="inlineStr">
        <is>
          <t>Articles, podcasts, case studies, and assessments to sharpen your sales and leadership skills. Free, practical insights from NuVue's training experts.</t>
        </is>
      </c>
      <c r="Q63" s="8">
        <f>IF(P63="","",LEN(P63))</f>
        <v/>
      </c>
      <c r="R63" s="10" t="inlineStr"/>
      <c r="S63" s="10" t="inlineStr">
        <is>
          <t>Sales Training Resources &amp; Insights</t>
        </is>
      </c>
      <c r="T63" s="9" t="inlineStr">
        <is>
          <t>CollectionPage, BreadcrumbList</t>
        </is>
      </c>
      <c r="U63" s="9" t="inlineStr">
        <is>
          <t>CollectionPage with ItemList of resource sub-sections. BreadcrumbList.</t>
        </is>
      </c>
      <c r="V63" s="10" t="inlineStr">
        <is>
          <t>See source notes / approved proof library where applicable</t>
        </is>
      </c>
      <c r="W63" s="10" t="inlineStr"/>
      <c r="X63" s="8" t="inlineStr"/>
      <c r="Y63" s="9" t="inlineStr">
        <is>
          <t>Content hub for SEO/AEO visibility | Content hub for SEO/AEO visibility.</t>
        </is>
      </c>
      <c r="Z63" s="10" t="inlineStr">
        <is>
          <t>DRAFT — HUMAN REVIEW</t>
        </is>
      </c>
      <c r="AA63" s="10" t="inlineStr"/>
    </row>
    <row r="64">
      <c r="A64" s="8" t="inlineStr">
        <is>
          <t>NUV-P060</t>
        </is>
      </c>
      <c r="B64" s="9" t="inlineStr">
        <is>
          <t>L2</t>
        </is>
      </c>
      <c r="C64" s="9" t="inlineStr">
        <is>
          <t>Offerings</t>
        </is>
      </c>
      <c r="D64" s="9" t="inlineStr">
        <is>
          <t>Assessments</t>
        </is>
      </c>
      <c r="E64" s="9" t="inlineStr">
        <is>
          <t>/solutions/assessments/</t>
        </is>
      </c>
      <c r="F64" s="8" t="inlineStr">
        <is>
          <t>Architecture L2</t>
        </is>
      </c>
      <c r="G64" s="9" t="inlineStr">
        <is>
          <t>MOVED</t>
        </is>
      </c>
      <c r="H64" s="10" t="inlineStr">
        <is>
          <t>TBD — HUMAN REVIEW</t>
        </is>
      </c>
      <c r="I64" s="10" t="inlineStr"/>
      <c r="J64" s="10" t="inlineStr">
        <is>
          <t>Assessment tools hub</t>
        </is>
      </c>
      <c r="K64" s="10" t="inlineStr"/>
      <c r="L64" s="10" t="inlineStr"/>
      <c r="M64" s="8" t="inlineStr">
        <is>
          <t>/resources/assessments/</t>
        </is>
      </c>
      <c r="N64" s="9" t="inlineStr">
        <is>
          <t>Free Sales &amp; Leadership Assessments | NuVue</t>
        </is>
      </c>
      <c r="O64" s="8">
        <f>IF(N64="","",LEN(N64))</f>
        <v/>
      </c>
      <c r="P64" s="9" t="inlineStr">
        <is>
          <t>Find what's holding your sales team back. Take a free NuVue assessment to benchmark skills and uncover where targeted training drives the most gains.</t>
        </is>
      </c>
      <c r="Q64" s="8">
        <f>IF(P64="","",LEN(P64))</f>
        <v/>
      </c>
      <c r="R64" s="10" t="inlineStr"/>
      <c r="S64" s="10" t="inlineStr">
        <is>
          <t>Free Sales &amp; Leadership Assessments</t>
        </is>
      </c>
      <c r="T64" s="9" t="inlineStr">
        <is>
          <t>WebPage, BreadcrumbList</t>
        </is>
      </c>
      <c r="U64" s="9" t="inlineStr">
        <is>
          <t>WebPage: name, description, primaryImageOfPage. Optional FAQPage if Q&amp;A present. BreadcrumbList. (Lead magnet - pair with form.)</t>
        </is>
      </c>
      <c r="V64" s="10" t="inlineStr">
        <is>
          <t>See source notes / approved proof library where applicable</t>
        </is>
      </c>
      <c r="W64" s="10" t="inlineStr"/>
      <c r="X64" s="8" t="inlineStr">
        <is>
          <t>YES — 301</t>
        </is>
      </c>
      <c r="Y64" s="9" t="inlineStr">
        <is>
          <t>Assessment tools hub | Lead-magnet hub feeding the quiz/CTA.</t>
        </is>
      </c>
      <c r="Z64" s="10" t="inlineStr">
        <is>
          <t>DRAFT — HUMAN REVIEW</t>
        </is>
      </c>
      <c r="AA64" s="12" t="inlineStr">
        <is>
          <t>Buyer intent</t>
        </is>
      </c>
    </row>
    <row r="65">
      <c r="A65" s="8" t="inlineStr">
        <is>
          <t>NUV-P061</t>
        </is>
      </c>
      <c r="B65" s="9" t="inlineStr">
        <is>
          <t>L2</t>
        </is>
      </c>
      <c r="C65" s="9" t="inlineStr">
        <is>
          <t>Offerings</t>
        </is>
      </c>
      <c r="D65" s="9" t="inlineStr">
        <is>
          <t>Blog</t>
        </is>
      </c>
      <c r="E65" s="9" t="inlineStr">
        <is>
          <t>/blog/</t>
        </is>
      </c>
      <c r="F65" s="8" t="inlineStr">
        <is>
          <t>Architecture L2</t>
        </is>
      </c>
      <c r="G65" s="9" t="inlineStr">
        <is>
          <t>ENHANCED</t>
        </is>
      </c>
      <c r="H65" s="10" t="inlineStr">
        <is>
          <t>Symptom Aware</t>
        </is>
      </c>
      <c r="I65" s="10" t="inlineStr">
        <is>
          <t>Unaware / Problem Aware</t>
        </is>
      </c>
      <c r="J65" s="10" t="inlineStr">
        <is>
          <t>Revived content engine — editorial calendar per audit</t>
        </is>
      </c>
      <c r="K65" s="10" t="inlineStr">
        <is>
          <t>Read / Explore</t>
        </is>
      </c>
      <c r="L65" s="10" t="inlineStr"/>
      <c r="M65" s="8" t="inlineStr">
        <is>
          <t>/resources/blog/</t>
        </is>
      </c>
      <c r="N65" s="9" t="inlineStr">
        <is>
          <t>Sales &amp; Leadership Blog | NuVue</t>
        </is>
      </c>
      <c r="O65" s="8">
        <f>IF(N65="","",LEN(N65))</f>
        <v/>
      </c>
      <c r="P65" s="9" t="inlineStr">
        <is>
          <t>Practical strategies on consultative selling, sales leadership, and team performance. Insights from NuVue's coaches to help you sell and lead better.</t>
        </is>
      </c>
      <c r="Q65" s="8">
        <f>IF(P65="","",LEN(P65))</f>
        <v/>
      </c>
      <c r="R65" s="10" t="inlineStr"/>
      <c r="S65" s="10" t="inlineStr">
        <is>
          <t>Sales &amp; Leadership Blog</t>
        </is>
      </c>
      <c r="T65" s="9" t="inlineStr">
        <is>
          <t>Blog, BreadcrumbList</t>
        </is>
      </c>
      <c r="U65" s="9" t="inlineStr">
        <is>
          <t>Blog: name, description, publisher. Each post: BlogPosting (headline, author, datePublished, image). BreadcrumbList.</t>
        </is>
      </c>
      <c r="V65" s="10" t="inlineStr">
        <is>
          <t>See source notes / approved proof library where applicable</t>
        </is>
      </c>
      <c r="W65" s="10" t="inlineStr"/>
      <c r="X65" s="8" t="inlineStr">
        <is>
          <t>YES — 301</t>
        </is>
      </c>
      <c r="Y65" s="9" t="inlineStr">
        <is>
          <t>Revived content engine — editorial calendar per audit | Revived content engine per editorial calendar.</t>
        </is>
      </c>
      <c r="Z65" s="10" t="inlineStr">
        <is>
          <t>DRAFT — HUMAN REVIEW</t>
        </is>
      </c>
      <c r="AA65" s="10" t="inlineStr"/>
    </row>
    <row r="66">
      <c r="A66" s="8" t="inlineStr">
        <is>
          <t>NUV-P062</t>
        </is>
      </c>
      <c r="B66" s="9" t="inlineStr">
        <is>
          <t>L2</t>
        </is>
      </c>
      <c r="C66" s="9" t="inlineStr">
        <is>
          <t>Offerings</t>
        </is>
      </c>
      <c r="D66" s="9" t="inlineStr">
        <is>
          <t>Articles</t>
        </is>
      </c>
      <c r="E66" s="9" t="inlineStr">
        <is>
          <t>/articles/</t>
        </is>
      </c>
      <c r="F66" s="8" t="inlineStr">
        <is>
          <t>Architecture L2</t>
        </is>
      </c>
      <c r="G66" s="9" t="inlineStr">
        <is>
          <t>EXISTS</t>
        </is>
      </c>
      <c r="H66" s="10" t="inlineStr">
        <is>
          <t>Symptom Aware</t>
        </is>
      </c>
      <c r="I66" s="10" t="inlineStr">
        <is>
          <t>Unaware / Problem Aware</t>
        </is>
      </c>
      <c r="J66" s="10" t="inlineStr">
        <is>
          <t>Existing content</t>
        </is>
      </c>
      <c r="K66" s="10" t="inlineStr">
        <is>
          <t>Read / Explore</t>
        </is>
      </c>
      <c r="L66" s="10" t="inlineStr"/>
      <c r="M66" s="8" t="inlineStr">
        <is>
          <t>/resources/articles/</t>
        </is>
      </c>
      <c r="N66" s="8" t="inlineStr"/>
      <c r="O66" s="8">
        <f>IF(N66="","",LEN(N66))</f>
        <v/>
      </c>
      <c r="P66" s="8" t="inlineStr"/>
      <c r="Q66" s="8">
        <f>IF(P66="","",LEN(P66))</f>
        <v/>
      </c>
      <c r="R66" s="10" t="inlineStr"/>
      <c r="S66" s="10" t="inlineStr"/>
      <c r="T66" s="8" t="inlineStr"/>
      <c r="U66" s="8" t="inlineStr"/>
      <c r="V66" s="10" t="inlineStr">
        <is>
          <t>See source notes / approved proof library where applicable</t>
        </is>
      </c>
      <c r="W66" s="10" t="inlineStr"/>
      <c r="X66" s="8" t="inlineStr">
        <is>
          <t>YES — 301</t>
        </is>
      </c>
      <c r="Y66" s="9" t="inlineStr">
        <is>
          <t>Existing content</t>
        </is>
      </c>
      <c r="Z66" s="10" t="inlineStr">
        <is>
          <t>DRAFT — HUMAN REVIEW</t>
        </is>
      </c>
      <c r="AA66" s="12" t="inlineStr">
        <is>
          <t>Metadata, Schema</t>
        </is>
      </c>
    </row>
    <row r="67">
      <c r="A67" s="8" t="inlineStr">
        <is>
          <t>NUV-P063</t>
        </is>
      </c>
      <c r="B67" s="9" t="inlineStr">
        <is>
          <t>L2</t>
        </is>
      </c>
      <c r="C67" s="9" t="inlineStr">
        <is>
          <t>Offerings</t>
        </is>
      </c>
      <c r="D67" s="9" t="inlineStr">
        <is>
          <t>Podcasts</t>
        </is>
      </c>
      <c r="E67" s="9" t="inlineStr">
        <is>
          <t>/podcasts/</t>
        </is>
      </c>
      <c r="F67" s="8" t="inlineStr">
        <is>
          <t>Architecture L2</t>
        </is>
      </c>
      <c r="G67" s="9" t="inlineStr">
        <is>
          <t>EXISTS</t>
        </is>
      </c>
      <c r="H67" s="10" t="inlineStr">
        <is>
          <t>Symptom Aware</t>
        </is>
      </c>
      <c r="I67" s="10" t="inlineStr">
        <is>
          <t>Unaware / Problem Aware</t>
        </is>
      </c>
      <c r="J67" s="10" t="inlineStr">
        <is>
          <t>Existing content</t>
        </is>
      </c>
      <c r="K67" s="10" t="inlineStr">
        <is>
          <t>Read / Explore</t>
        </is>
      </c>
      <c r="L67" s="10" t="inlineStr"/>
      <c r="M67" s="8" t="inlineStr">
        <is>
          <t>/resources/podcasts/</t>
        </is>
      </c>
      <c r="N67" s="8" t="inlineStr"/>
      <c r="O67" s="8">
        <f>IF(N67="","",LEN(N67))</f>
        <v/>
      </c>
      <c r="P67" s="8" t="inlineStr"/>
      <c r="Q67" s="8">
        <f>IF(P67="","",LEN(P67))</f>
        <v/>
      </c>
      <c r="R67" s="10" t="inlineStr"/>
      <c r="S67" s="10" t="inlineStr"/>
      <c r="T67" s="8" t="inlineStr"/>
      <c r="U67" s="8" t="inlineStr"/>
      <c r="V67" s="10" t="inlineStr">
        <is>
          <t>See source notes / approved proof library where applicable</t>
        </is>
      </c>
      <c r="W67" s="10" t="inlineStr"/>
      <c r="X67" s="8" t="inlineStr">
        <is>
          <t>YES — 301</t>
        </is>
      </c>
      <c r="Y67" s="9" t="inlineStr">
        <is>
          <t>Existing content</t>
        </is>
      </c>
      <c r="Z67" s="10" t="inlineStr">
        <is>
          <t>DRAFT — HUMAN REVIEW</t>
        </is>
      </c>
      <c r="AA67" s="12" t="inlineStr">
        <is>
          <t>Metadata, Schema</t>
        </is>
      </c>
    </row>
    <row r="68">
      <c r="A68" s="8" t="inlineStr">
        <is>
          <t>NUV-P064</t>
        </is>
      </c>
      <c r="B68" s="9" t="inlineStr">
        <is>
          <t>L2</t>
        </is>
      </c>
      <c r="C68" s="9" t="inlineStr">
        <is>
          <t>Offerings</t>
        </is>
      </c>
      <c r="D68" s="9" t="inlineStr">
        <is>
          <t>Case Studies</t>
        </is>
      </c>
      <c r="E68" s="9" t="inlineStr"/>
      <c r="F68" s="8" t="inlineStr">
        <is>
          <t>Architecture L2</t>
        </is>
      </c>
      <c r="G68" s="11" t="inlineStr">
        <is>
          <t>NEW</t>
        </is>
      </c>
      <c r="H68" s="10" t="inlineStr">
        <is>
          <t>Product Aware</t>
        </is>
      </c>
      <c r="I68" s="10" t="inlineStr"/>
      <c r="J68" s="10" t="inlineStr">
        <is>
          <t>Industry-specific with before/after metrics ($400K avg increase)</t>
        </is>
      </c>
      <c r="K68" s="10" t="inlineStr">
        <is>
          <t>Explore Related Solution</t>
        </is>
      </c>
      <c r="L68" s="10" t="inlineStr"/>
      <c r="M68" s="8" t="inlineStr">
        <is>
          <t>/resources/case-studies/</t>
        </is>
      </c>
      <c r="N68" s="9" t="inlineStr">
        <is>
          <t>Sales Training Case Studies &amp; Results | NuVue</t>
        </is>
      </c>
      <c r="O68" s="8">
        <f>IF(N68="","",LEN(N68))</f>
        <v/>
      </c>
      <c r="P68" s="9" t="inlineStr">
        <is>
          <t>See how NuVue clients grew revenue with measurable results, including $400K average gains per rep. Real case studies across multiple industries.</t>
        </is>
      </c>
      <c r="Q68" s="8">
        <f>IF(P68="","",LEN(P68))</f>
        <v/>
      </c>
      <c r="R68" s="10" t="inlineStr"/>
      <c r="S68" s="10" t="inlineStr">
        <is>
          <t>Sales Training Case Studies &amp; Results</t>
        </is>
      </c>
      <c r="T68" s="9" t="inlineStr">
        <is>
          <t>CollectionPage, BreadcrumbList</t>
        </is>
      </c>
      <c r="U68" s="9" t="inlineStr">
        <is>
          <t>CollectionPage with ItemList of Article items (one per case study). Each: Article (headline, about, image). BreadcrumbList.</t>
        </is>
      </c>
      <c r="V68" s="10" t="inlineStr">
        <is>
          <t>See source notes / approved proof library where applicable</t>
        </is>
      </c>
      <c r="W68" s="10" t="inlineStr"/>
      <c r="X68" s="8" t="inlineStr">
        <is>
          <t>NO — new URL</t>
        </is>
      </c>
      <c r="Y68" s="9" t="inlineStr">
        <is>
          <t>Industry-specific with before/after metrics ($400K avg increase) | Proof hub. Pioneer, BASF, VA in rough form.</t>
        </is>
      </c>
      <c r="Z68" s="10" t="inlineStr">
        <is>
          <t>DRAFT — HUMAN REVIEW</t>
        </is>
      </c>
      <c r="AA68" s="10" t="inlineStr"/>
    </row>
    <row r="69">
      <c r="A69" s="8" t="inlineStr">
        <is>
          <t>NUV-P065</t>
        </is>
      </c>
      <c r="B69" s="9" t="inlineStr">
        <is>
          <t>L2</t>
        </is>
      </c>
      <c r="C69" s="9" t="inlineStr">
        <is>
          <t>Offerings</t>
        </is>
      </c>
      <c r="D69" s="9" t="inlineStr">
        <is>
          <t>Client Testimonials</t>
        </is>
      </c>
      <c r="E69" s="9" t="inlineStr">
        <is>
          <t>/testimonials/</t>
        </is>
      </c>
      <c r="F69" s="8" t="inlineStr">
        <is>
          <t>Architecture L2</t>
        </is>
      </c>
      <c r="G69" s="9" t="inlineStr">
        <is>
          <t>EXISTS</t>
        </is>
      </c>
      <c r="H69" s="10" t="inlineStr">
        <is>
          <t>Product Aware</t>
        </is>
      </c>
      <c r="I69" s="10" t="inlineStr"/>
      <c r="J69" s="10" t="inlineStr">
        <is>
          <t>Existing content</t>
        </is>
      </c>
      <c r="K69" s="10" t="inlineStr">
        <is>
          <t>Explore Related Solution</t>
        </is>
      </c>
      <c r="L69" s="10" t="inlineStr"/>
      <c r="M69" s="8" t="inlineStr">
        <is>
          <t>/resources/testimonials/</t>
        </is>
      </c>
      <c r="N69" s="9" t="inlineStr">
        <is>
          <t>Client Testimonials &amp; Reviews | NuVue</t>
        </is>
      </c>
      <c r="O69" s="8">
        <f>IF(N69="","",LEN(N69))</f>
        <v/>
      </c>
      <c r="P69" s="9" t="inlineStr">
        <is>
          <t>Hear from sales leaders who transformed their teams with NuVue training. Real testimonials on results, ROI, and the Counselor Salesperson method.</t>
        </is>
      </c>
      <c r="Q69" s="8">
        <f>IF(P69="","",LEN(P69))</f>
        <v/>
      </c>
      <c r="R69" s="10" t="inlineStr"/>
      <c r="S69" s="10" t="inlineStr">
        <is>
          <t>Client Testimonials &amp; Reviews</t>
        </is>
      </c>
      <c r="T69" s="9" t="inlineStr">
        <is>
          <t>WebPage, Review, BreadcrumbList</t>
        </is>
      </c>
      <c r="U69" s="9" t="inlineStr">
        <is>
          <t>WebPage with Review items (author, reviewBody, itemReviewed=Organization). Consider AggregateRating on the Organization. BreadcrumbList.</t>
        </is>
      </c>
      <c r="V69" s="10" t="inlineStr">
        <is>
          <t>See source notes / approved proof library where applicable</t>
        </is>
      </c>
      <c r="W69" s="10" t="inlineStr"/>
      <c r="X69" s="8" t="inlineStr">
        <is>
          <t>YES — 301</t>
        </is>
      </c>
      <c r="Y69" s="9" t="inlineStr">
        <is>
          <t>Existing content | Elevated from buried page. Use only verifiable quotes.</t>
        </is>
      </c>
      <c r="Z69" s="10" t="inlineStr">
        <is>
          <t>DRAFT — HUMAN REVIEW</t>
        </is>
      </c>
      <c r="AA69" s="10" t="inlineStr"/>
    </row>
    <row r="70">
      <c r="A70" s="8" t="inlineStr">
        <is>
          <t>NUV-P066</t>
        </is>
      </c>
      <c r="B70" s="9" t="inlineStr">
        <is>
          <t>L1</t>
        </is>
      </c>
      <c r="C70" s="9" t="inlineStr">
        <is>
          <t>Public Seminars</t>
        </is>
      </c>
      <c r="D70" s="9" t="inlineStr">
        <is>
          <t>Public Seminars</t>
        </is>
      </c>
      <c r="E70" s="9" t="inlineStr">
        <is>
          <t>/public-seminars/</t>
        </is>
      </c>
      <c r="F70" s="8" t="inlineStr">
        <is>
          <t>Architecture L1</t>
        </is>
      </c>
      <c r="G70" s="9" t="inlineStr">
        <is>
          <t>ENHANCED</t>
        </is>
      </c>
      <c r="H70" s="10" t="inlineStr">
        <is>
          <t>Product Aware / Most Aware</t>
        </is>
      </c>
      <c r="I70" s="10" t="inlineStr">
        <is>
          <t>Solution Aware</t>
        </is>
      </c>
      <c r="J70" s="10" t="inlineStr">
        <is>
          <t>Top-level nav item — dates, pricing ($850-$1,450), Company Name field on forms</t>
        </is>
      </c>
      <c r="K70" s="10" t="inlineStr">
        <is>
          <t>Register</t>
        </is>
      </c>
      <c r="L70" s="10" t="inlineStr">
        <is>
          <t>Explore Programs</t>
        </is>
      </c>
      <c r="M70" s="8" t="inlineStr">
        <is>
          <t>/public-seminars/</t>
        </is>
      </c>
      <c r="N70" s="9" t="inlineStr">
        <is>
          <t>Public Sales Training Seminars &amp; Dates | NuVue</t>
        </is>
      </c>
      <c r="O70" s="8">
        <f>IF(N70="","",LEN(N70))</f>
        <v/>
      </c>
      <c r="P70" s="9" t="inlineStr">
        <is>
          <t>Open-enrollment seminars in consultative selling and negotiation. View upcoming dates and pricing, then register your team for hands-on training.</t>
        </is>
      </c>
      <c r="Q70" s="8">
        <f>IF(P70="","",LEN(P70))</f>
        <v/>
      </c>
      <c r="R70" s="10" t="inlineStr"/>
      <c r="S70" s="10" t="inlineStr">
        <is>
          <t>Public Sales Training Seminars &amp; Dates</t>
        </is>
      </c>
      <c r="T70" s="9" t="inlineStr">
        <is>
          <t>CollectionPage, BreadcrumbList</t>
        </is>
      </c>
      <c r="U70" s="9" t="inlineStr">
        <is>
          <t>CollectionPage with ItemList of EducationEvent (name, startDate, endDate, location/virtualLocation, eventAttendanceMode, offers: price/currency). BreadcrumbList.</t>
        </is>
      </c>
      <c r="V70" s="10" t="inlineStr">
        <is>
          <t>See source notes / approved proof library where applicable</t>
        </is>
      </c>
      <c r="W70" s="10" t="inlineStr">
        <is>
          <t>Registration start; completion; company attribution</t>
        </is>
      </c>
      <c r="X70" s="8" t="inlineStr">
        <is>
          <t>NO</t>
        </is>
      </c>
      <c r="Y70" s="9" t="inlineStr">
        <is>
          <t>Top-level nav item — dates, pricing ($850-$1,450), Company Name field on forms | Pricing $2,400-$2,800; new ~$1,000 virtual tier under review. Add Company Name field on form.</t>
        </is>
      </c>
      <c r="Z70" s="10" t="inlineStr">
        <is>
          <t>DRAFT — HUMAN REVIEW</t>
        </is>
      </c>
      <c r="AA70" s="10" t="inlineStr"/>
    </row>
    <row r="71">
      <c r="A71" s="8" t="inlineStr">
        <is>
          <t>NUV-P067</t>
        </is>
      </c>
      <c r="B71" s="9" t="inlineStr">
        <is>
          <t>L2</t>
        </is>
      </c>
      <c r="C71" s="9" t="inlineStr">
        <is>
          <t>Public Seminars</t>
        </is>
      </c>
      <c r="D71" s="9" t="inlineStr">
        <is>
          <t>Counselor Salesperson</t>
        </is>
      </c>
      <c r="E71" s="9" t="inlineStr"/>
      <c r="F71" s="8" t="inlineStr">
        <is>
          <t>Architecture L2</t>
        </is>
      </c>
      <c r="G71" s="11" t="inlineStr">
        <is>
          <t>NEW</t>
        </is>
      </c>
      <c r="H71" s="10" t="inlineStr">
        <is>
          <t>TBD — HUMAN REVIEW</t>
        </is>
      </c>
      <c r="I71" s="10" t="inlineStr"/>
      <c r="J71" s="10" t="inlineStr">
        <is>
          <t>Individual buyer focused public seminar landing page -&gt; select date to purchase</t>
        </is>
      </c>
      <c r="K71" s="10" t="inlineStr"/>
      <c r="L71" s="10" t="inlineStr"/>
      <c r="M71" s="8" t="inlineStr">
        <is>
          <t>/public-seminars/counselor-salesperson/</t>
        </is>
      </c>
      <c r="N71" s="8" t="inlineStr"/>
      <c r="O71" s="8">
        <f>IF(N71="","",LEN(N71))</f>
        <v/>
      </c>
      <c r="P71" s="8" t="inlineStr"/>
      <c r="Q71" s="8">
        <f>IF(P71="","",LEN(P71))</f>
        <v/>
      </c>
      <c r="R71" s="10" t="inlineStr"/>
      <c r="S71" s="10" t="inlineStr"/>
      <c r="T71" s="8" t="inlineStr"/>
      <c r="U71" s="8" t="inlineStr"/>
      <c r="V71" s="10" t="inlineStr">
        <is>
          <t>See source notes / approved proof library where applicable</t>
        </is>
      </c>
      <c r="W71" s="10" t="inlineStr"/>
      <c r="X71" s="8" t="inlineStr">
        <is>
          <t>NO — new URL</t>
        </is>
      </c>
      <c r="Y71" s="9" t="inlineStr">
        <is>
          <t>Individual buyer focused public seminar landing page -&gt; select date to purchase</t>
        </is>
      </c>
      <c r="Z71" s="10" t="inlineStr">
        <is>
          <t>DRAFT — HUMAN REVIEW</t>
        </is>
      </c>
      <c r="AA71" s="12" t="inlineStr">
        <is>
          <t>Buyer intent, Metadata, Schema</t>
        </is>
      </c>
    </row>
    <row r="72">
      <c r="A72" s="8" t="inlineStr">
        <is>
          <t>NUV-P068</t>
        </is>
      </c>
      <c r="B72" s="9" t="inlineStr">
        <is>
          <t>L2</t>
        </is>
      </c>
      <c r="C72" s="9" t="inlineStr">
        <is>
          <t>Public Seminars</t>
        </is>
      </c>
      <c r="D72" s="9" t="inlineStr">
        <is>
          <t>Negotiationg To Yes</t>
        </is>
      </c>
      <c r="E72" s="9" t="inlineStr"/>
      <c r="F72" s="8" t="inlineStr">
        <is>
          <t>Architecture L2</t>
        </is>
      </c>
      <c r="G72" s="11" t="inlineStr">
        <is>
          <t>NEW</t>
        </is>
      </c>
      <c r="H72" s="10" t="inlineStr">
        <is>
          <t>TBD — HUMAN REVIEW</t>
        </is>
      </c>
      <c r="I72" s="10" t="inlineStr"/>
      <c r="J72" s="10" t="inlineStr">
        <is>
          <t>Individual buyer focused public seminar landing page -&gt; select date to purchase</t>
        </is>
      </c>
      <c r="K72" s="10" t="inlineStr"/>
      <c r="L72" s="10" t="inlineStr"/>
      <c r="M72" s="8" t="inlineStr">
        <is>
          <t>/public-seminars/negotiating-to-yes/</t>
        </is>
      </c>
      <c r="N72" s="8" t="inlineStr"/>
      <c r="O72" s="8">
        <f>IF(N72="","",LEN(N72))</f>
        <v/>
      </c>
      <c r="P72" s="8" t="inlineStr"/>
      <c r="Q72" s="8">
        <f>IF(P72="","",LEN(P72))</f>
        <v/>
      </c>
      <c r="R72" s="10" t="inlineStr"/>
      <c r="S72" s="10" t="inlineStr"/>
      <c r="T72" s="8" t="inlineStr"/>
      <c r="U72" s="8" t="inlineStr"/>
      <c r="V72" s="10" t="inlineStr">
        <is>
          <t>See source notes / approved proof library where applicable</t>
        </is>
      </c>
      <c r="W72" s="10" t="inlineStr"/>
      <c r="X72" s="8" t="inlineStr">
        <is>
          <t>NO — new URL</t>
        </is>
      </c>
      <c r="Y72" s="9" t="inlineStr">
        <is>
          <t>Individual buyer focused public seminar landing page -&gt; select date to purchase</t>
        </is>
      </c>
      <c r="Z72" s="10" t="inlineStr">
        <is>
          <t>DRAFT — HUMAN REVIEW</t>
        </is>
      </c>
      <c r="AA72" s="12" t="inlineStr">
        <is>
          <t>Buyer intent, Metadata, Schema</t>
        </is>
      </c>
    </row>
    <row r="73">
      <c r="A73" s="8" t="inlineStr">
        <is>
          <t>NUV-P069</t>
        </is>
      </c>
      <c r="B73" s="9" t="inlineStr">
        <is>
          <t>L2</t>
        </is>
      </c>
      <c r="C73" s="9" t="inlineStr">
        <is>
          <t>Public Seminars</t>
        </is>
      </c>
      <c r="D73" s="9" t="inlineStr">
        <is>
          <t>Building Relationship Versatility</t>
        </is>
      </c>
      <c r="E73" s="9" t="inlineStr"/>
      <c r="F73" s="8" t="inlineStr">
        <is>
          <t>Architecture L2</t>
        </is>
      </c>
      <c r="G73" s="11" t="inlineStr">
        <is>
          <t>NEW</t>
        </is>
      </c>
      <c r="H73" s="10" t="inlineStr">
        <is>
          <t>TBD — HUMAN REVIEW</t>
        </is>
      </c>
      <c r="I73" s="10" t="inlineStr"/>
      <c r="J73" s="10" t="inlineStr">
        <is>
          <t>Individual buyer focused public seminar landing page -&gt; select date to purchase</t>
        </is>
      </c>
      <c r="K73" s="10" t="inlineStr"/>
      <c r="L73" s="10" t="inlineStr"/>
      <c r="M73" s="8" t="inlineStr">
        <is>
          <t>/public-seminars/building-relationship-versatility/</t>
        </is>
      </c>
      <c r="N73" s="8" t="inlineStr"/>
      <c r="O73" s="8">
        <f>IF(N73="","",LEN(N73))</f>
        <v/>
      </c>
      <c r="P73" s="8" t="inlineStr"/>
      <c r="Q73" s="8">
        <f>IF(P73="","",LEN(P73))</f>
        <v/>
      </c>
      <c r="R73" s="10" t="inlineStr"/>
      <c r="S73" s="10" t="inlineStr"/>
      <c r="T73" s="8" t="inlineStr"/>
      <c r="U73" s="8" t="inlineStr"/>
      <c r="V73" s="10" t="inlineStr">
        <is>
          <t>See source notes / approved proof library where applicable</t>
        </is>
      </c>
      <c r="W73" s="10" t="inlineStr"/>
      <c r="X73" s="8" t="inlineStr">
        <is>
          <t>NO — new URL</t>
        </is>
      </c>
      <c r="Y73" s="9" t="inlineStr">
        <is>
          <t>Individual buyer focused public seminar landing page -&gt; select date to purchase</t>
        </is>
      </c>
      <c r="Z73" s="10" t="inlineStr">
        <is>
          <t>DRAFT — HUMAN REVIEW</t>
        </is>
      </c>
      <c r="AA73" s="12" t="inlineStr">
        <is>
          <t>Buyer intent, Metadata, Schema</t>
        </is>
      </c>
    </row>
    <row r="74">
      <c r="A74" s="8" t="inlineStr">
        <is>
          <t>NUV-P070</t>
        </is>
      </c>
      <c r="B74" s="9" t="inlineStr">
        <is>
          <t>L1</t>
        </is>
      </c>
      <c r="C74" s="9" t="inlineStr">
        <is>
          <t>About</t>
        </is>
      </c>
      <c r="D74" s="9" t="inlineStr">
        <is>
          <t>About NuVue</t>
        </is>
      </c>
      <c r="E74" s="9" t="inlineStr">
        <is>
          <t>/about-us/</t>
        </is>
      </c>
      <c r="F74" s="8" t="inlineStr">
        <is>
          <t>Architecture L1</t>
        </is>
      </c>
      <c r="G74" s="9" t="inlineStr">
        <is>
          <t>ENHANCED</t>
        </is>
      </c>
      <c r="H74" s="10" t="inlineStr">
        <is>
          <t>Product Aware</t>
        </is>
      </c>
      <c r="I74" s="10" t="inlineStr">
        <is>
          <t>Solution Aware</t>
        </is>
      </c>
      <c r="J74" s="10" t="inlineStr">
        <is>
          <t>Trust-building section</t>
        </is>
      </c>
      <c r="K74" s="10" t="inlineStr"/>
      <c r="L74" s="10" t="inlineStr"/>
      <c r="M74" s="8" t="inlineStr">
        <is>
          <t>/about/</t>
        </is>
      </c>
      <c r="N74" s="9" t="inlineStr">
        <is>
          <t>About NuVue | Sales Training Since 2002</t>
        </is>
      </c>
      <c r="O74" s="8">
        <f>IF(N74="","",LEN(N74))</f>
        <v/>
      </c>
      <c r="P74" s="9" t="inlineStr">
        <is>
          <t>For 24+ years, NuVue has helped companies build high-performing sales and leadership teams. Learn about our approach, our people, and our results.</t>
        </is>
      </c>
      <c r="Q74" s="8">
        <f>IF(P74="","",LEN(P74))</f>
        <v/>
      </c>
      <c r="R74" s="10" t="inlineStr"/>
      <c r="S74" s="10" t="inlineStr">
        <is>
          <t>About NuVue | Sales Training Since 2002</t>
        </is>
      </c>
      <c r="T74" s="9" t="inlineStr">
        <is>
          <t>AboutPage, Organization, BreadcrumbList</t>
        </is>
      </c>
      <c r="U74" s="9" t="inlineStr">
        <is>
          <t>AboutPage referencing the Organization (foundingDate 2002, founder, numberOfEmployees, award, knowsAbout). BreadcrumbList.</t>
        </is>
      </c>
      <c r="V74" s="10" t="inlineStr">
        <is>
          <t>See source notes / approved proof library where applicable</t>
        </is>
      </c>
      <c r="W74" s="10" t="inlineStr"/>
      <c r="X74" s="8" t="inlineStr">
        <is>
          <t>YES — 301</t>
        </is>
      </c>
      <c r="Y74" s="9" t="inlineStr">
        <is>
          <t>Trust-building section | Trust signal: 24+ years. E-E-A-T anchor.</t>
        </is>
      </c>
      <c r="Z74" s="10" t="inlineStr">
        <is>
          <t>DRAFT — HUMAN REVIEW</t>
        </is>
      </c>
      <c r="AA74" s="10" t="inlineStr"/>
    </row>
    <row r="75">
      <c r="A75" s="8" t="inlineStr">
        <is>
          <t>NUV-P071</t>
        </is>
      </c>
      <c r="B75" s="9" t="inlineStr">
        <is>
          <t>L2</t>
        </is>
      </c>
      <c r="C75" s="9" t="inlineStr">
        <is>
          <t>About</t>
        </is>
      </c>
      <c r="D75" s="9" t="inlineStr">
        <is>
          <t>Our Approach</t>
        </is>
      </c>
      <c r="E75" s="9" t="inlineStr"/>
      <c r="F75" s="8" t="inlineStr">
        <is>
          <t>Architecture L2</t>
        </is>
      </c>
      <c r="G75" s="11" t="inlineStr">
        <is>
          <t>NEW</t>
        </is>
      </c>
      <c r="H75" s="10" t="inlineStr">
        <is>
          <t>TBD — HUMAN REVIEW</t>
        </is>
      </c>
      <c r="I75" s="10" t="inlineStr"/>
      <c r="J75" s="10" t="inlineStr">
        <is>
          <t>Methodology depth — LTNS, Wilson Learning, proprietary frameworks, E-E-A-T</t>
        </is>
      </c>
      <c r="K75" s="10" t="inlineStr"/>
      <c r="L75" s="10" t="inlineStr"/>
      <c r="M75" s="8" t="inlineStr">
        <is>
          <t>/about/our-approach/</t>
        </is>
      </c>
      <c r="N75" s="9" t="inlineStr">
        <is>
          <t>Our Approach to Sales Training | NuVue</t>
        </is>
      </c>
      <c r="O75" s="8">
        <f>IF(N75="","",LEN(N75))</f>
        <v/>
      </c>
      <c r="P75" s="9" t="inlineStr">
        <is>
          <t>NuVue's proven methodology blends consultative selling, behavioral insight, and continuous reinforcement to create lasting performance change.</t>
        </is>
      </c>
      <c r="Q75" s="8">
        <f>IF(P75="","",LEN(P75))</f>
        <v/>
      </c>
      <c r="R75" s="10" t="inlineStr"/>
      <c r="S75" s="10" t="inlineStr">
        <is>
          <t>Our Approach to Sales Training</t>
        </is>
      </c>
      <c r="T75" s="9" t="inlineStr">
        <is>
          <t>AboutPage, BreadcrumbList</t>
        </is>
      </c>
      <c r="U75" s="9" t="inlineStr">
        <is>
          <t>AboutPage: name, description, about (methodology), mainEntity. BreadcrumbList. Surface Wilson Learning lineage for E-E-A-T.</t>
        </is>
      </c>
      <c r="V75" s="10" t="inlineStr">
        <is>
          <t>See source notes / approved proof library where applicable</t>
        </is>
      </c>
      <c r="W75" s="10" t="inlineStr"/>
      <c r="X75" s="8" t="inlineStr">
        <is>
          <t>NO — new URL</t>
        </is>
      </c>
      <c r="Y75" s="9" t="inlineStr">
        <is>
          <t>Methodology depth — LTNS, Wilson Learning, proprietary frameworks, E-E-A-T | Methodology depth page.</t>
        </is>
      </c>
      <c r="Z75" s="10" t="inlineStr">
        <is>
          <t>DRAFT — HUMAN REVIEW</t>
        </is>
      </c>
      <c r="AA75" s="12" t="inlineStr">
        <is>
          <t>Buyer intent</t>
        </is>
      </c>
    </row>
    <row r="76">
      <c r="A76" s="8" t="inlineStr">
        <is>
          <t>NUV-P072</t>
        </is>
      </c>
      <c r="B76" s="9" t="inlineStr">
        <is>
          <t>L2</t>
        </is>
      </c>
      <c r="C76" s="9" t="inlineStr">
        <is>
          <t>About</t>
        </is>
      </c>
      <c r="D76" s="9" t="inlineStr">
        <is>
          <t>Meet Our Team</t>
        </is>
      </c>
      <c r="E76" s="9" t="inlineStr">
        <is>
          <t>/about-us/meet-our-team/</t>
        </is>
      </c>
      <c r="F76" s="8" t="inlineStr">
        <is>
          <t>Architecture L2</t>
        </is>
      </c>
      <c r="G76" s="9" t="inlineStr">
        <is>
          <t>EXISTS</t>
        </is>
      </c>
      <c r="H76" s="10" t="inlineStr">
        <is>
          <t>TBD — HUMAN REVIEW</t>
        </is>
      </c>
      <c r="I76" s="10" t="inlineStr"/>
      <c r="J76" s="10" t="inlineStr">
        <is>
          <t>Steve's 35 years + BASF credentials surfaced</t>
        </is>
      </c>
      <c r="K76" s="10" t="inlineStr"/>
      <c r="L76" s="10" t="inlineStr"/>
      <c r="M76" s="8" t="inlineStr">
        <is>
          <t>/about/team/</t>
        </is>
      </c>
      <c r="N76" s="9" t="inlineStr">
        <is>
          <t>Meet Our Team | NuVue</t>
        </is>
      </c>
      <c r="O76" s="8">
        <f>IF(N76="","",LEN(N76))</f>
        <v/>
      </c>
      <c r="P76" s="9" t="inlineStr">
        <is>
          <t>Meet the NuVue coaches and facilitators behind decades of sales and leadership results, led by founder Steve Rezac and our expert training team.</t>
        </is>
      </c>
      <c r="Q76" s="8">
        <f>IF(P76="","",LEN(P76))</f>
        <v/>
      </c>
      <c r="R76" s="10" t="inlineStr"/>
      <c r="S76" s="10" t="inlineStr">
        <is>
          <t>Meet Our Team</t>
        </is>
      </c>
      <c r="T76" s="9" t="inlineStr">
        <is>
          <t>AboutPage, BreadcrumbList</t>
        </is>
      </c>
      <c r="U76" s="9" t="inlineStr">
        <is>
          <t>AboutPage with ItemList of Person (name, jobTitle, image, worksFor, knowsAbout, sameAs). BreadcrumbList. Strong E-E-A-T signal.</t>
        </is>
      </c>
      <c r="V76" s="10" t="inlineStr">
        <is>
          <t>See source notes / approved proof library where applicable</t>
        </is>
      </c>
      <c r="W76" s="10" t="inlineStr"/>
      <c r="X76" s="8" t="inlineStr">
        <is>
          <t>YES — 301</t>
        </is>
      </c>
      <c r="Y76" s="9" t="inlineStr">
        <is>
          <t>Steve's 35 years + BASF credentials surfaced | Surface Steve's 35 yrs + BASF credentials.</t>
        </is>
      </c>
      <c r="Z76" s="10" t="inlineStr">
        <is>
          <t>DRAFT — HUMAN REVIEW</t>
        </is>
      </c>
      <c r="AA76" s="12" t="inlineStr">
        <is>
          <t>Buyer intent</t>
        </is>
      </c>
    </row>
    <row r="77">
      <c r="A77" s="8" t="inlineStr">
        <is>
          <t>NUV-P073</t>
        </is>
      </c>
      <c r="B77" s="9" t="inlineStr">
        <is>
          <t>L2</t>
        </is>
      </c>
      <c r="C77" s="9" t="inlineStr">
        <is>
          <t>About</t>
        </is>
      </c>
      <c r="D77" s="9" t="inlineStr">
        <is>
          <t>Join Our Team</t>
        </is>
      </c>
      <c r="E77" s="9" t="inlineStr">
        <is>
          <t>/join-our-team/</t>
        </is>
      </c>
      <c r="F77" s="8" t="inlineStr">
        <is>
          <t>Architecture L2</t>
        </is>
      </c>
      <c r="G77" s="9" t="inlineStr">
        <is>
          <t>EXISTS</t>
        </is>
      </c>
      <c r="H77" s="10" t="inlineStr">
        <is>
          <t>TBD — HUMAN REVIEW</t>
        </is>
      </c>
      <c r="I77" s="10" t="inlineStr"/>
      <c r="J77" s="10" t="inlineStr">
        <is>
          <t>Existing page, new URL path</t>
        </is>
      </c>
      <c r="K77" s="10" t="inlineStr"/>
      <c r="L77" s="10" t="inlineStr"/>
      <c r="M77" s="8" t="inlineStr">
        <is>
          <t>/about/careers/</t>
        </is>
      </c>
      <c r="N77" s="8" t="inlineStr"/>
      <c r="O77" s="8">
        <f>IF(N77="","",LEN(N77))</f>
        <v/>
      </c>
      <c r="P77" s="8" t="inlineStr"/>
      <c r="Q77" s="8">
        <f>IF(P77="","",LEN(P77))</f>
        <v/>
      </c>
      <c r="R77" s="10" t="inlineStr"/>
      <c r="S77" s="10" t="inlineStr"/>
      <c r="T77" s="8" t="inlineStr"/>
      <c r="U77" s="8" t="inlineStr"/>
      <c r="V77" s="10" t="inlineStr">
        <is>
          <t>See source notes / approved proof library where applicable</t>
        </is>
      </c>
      <c r="W77" s="10" t="inlineStr"/>
      <c r="X77" s="8" t="inlineStr">
        <is>
          <t>YES — 301</t>
        </is>
      </c>
      <c r="Y77" s="9" t="inlineStr">
        <is>
          <t>Existing page, new URL path</t>
        </is>
      </c>
      <c r="Z77" s="10" t="inlineStr">
        <is>
          <t>DRAFT — HUMAN REVIEW</t>
        </is>
      </c>
      <c r="AA77" s="12" t="inlineStr">
        <is>
          <t>Buyer intent, Metadata, Schema</t>
        </is>
      </c>
    </row>
    <row r="78">
      <c r="A78" s="8" t="inlineStr">
        <is>
          <t>NUV-P074</t>
        </is>
      </c>
      <c r="B78" s="9" t="inlineStr">
        <is>
          <t>L1</t>
        </is>
      </c>
      <c r="C78" s="9" t="inlineStr">
        <is>
          <t>About</t>
        </is>
      </c>
      <c r="D78" s="9" t="inlineStr">
        <is>
          <t>Request a Consultation</t>
        </is>
      </c>
      <c r="E78" s="9" t="inlineStr"/>
      <c r="F78" s="8" t="inlineStr">
        <is>
          <t>Architecture L1</t>
        </is>
      </c>
      <c r="G78" s="11" t="inlineStr">
        <is>
          <t>NEW</t>
        </is>
      </c>
      <c r="H78" s="10" t="inlineStr">
        <is>
          <t>Most Aware</t>
        </is>
      </c>
      <c r="I78" s="10" t="inlineStr">
        <is>
          <t>Product Aware</t>
        </is>
      </c>
      <c r="J78" s="10" t="inlineStr">
        <is>
          <t>Convert qualified corporate interest into a structured consultation request with usable CRM context.</t>
        </is>
      </c>
      <c r="K78" s="10" t="inlineStr">
        <is>
          <t>Submit Consultation Request</t>
        </is>
      </c>
      <c r="L78" s="10" t="inlineStr"/>
      <c r="M78" s="8" t="inlineStr">
        <is>
          <t>/request-consultation/</t>
        </is>
      </c>
      <c r="N78" s="9" t="inlineStr">
        <is>
          <t>Request a Sales Training Consultation | NuVue</t>
        </is>
      </c>
      <c r="O78" s="8">
        <f>IF(N78="","",LEN(N78))</f>
        <v/>
      </c>
      <c r="P78" s="9" t="inlineStr">
        <is>
          <t>Tell us about your team and goals. Request a free consultation to build a tailored sales or leadership training program with measurable ROI.</t>
        </is>
      </c>
      <c r="Q78" s="8">
        <f>IF(P78="","",LEN(P78))</f>
        <v/>
      </c>
      <c r="R78" s="10" t="inlineStr"/>
      <c r="S78" s="10" t="inlineStr">
        <is>
          <t>Request a Sales Training Consultation</t>
        </is>
      </c>
      <c r="T78" s="9" t="inlineStr">
        <is>
          <t>ContactPage, BreadcrumbList</t>
        </is>
      </c>
      <c r="U78" s="9" t="inlineStr">
        <is>
          <t>ContactPage: name, description. Reference Organization contactPoint. BreadcrumbList. (Zoho CRM-integrated form.)</t>
        </is>
      </c>
      <c r="V78" s="10" t="inlineStr">
        <is>
          <t>See source notes / approved proof library where applicable</t>
        </is>
      </c>
      <c r="W78" s="10" t="inlineStr">
        <is>
          <t>Form start; form completion; qualified lead status</t>
        </is>
      </c>
      <c r="X78" s="8" t="inlineStr">
        <is>
          <t>NO — new URL</t>
        </is>
      </c>
      <c r="Y78" s="9" t="inlineStr">
        <is>
          <t>Primary CTA for corporate buyers — Zoho CRM integration | Primary corporate CTA destination.</t>
        </is>
      </c>
      <c r="Z78" s="10" t="inlineStr">
        <is>
          <t>DRAFT — HUMAN REVIEW</t>
        </is>
      </c>
      <c r="AA78" s="10" t="inlineStr"/>
    </row>
    <row r="79">
      <c r="A79" s="8" t="inlineStr">
        <is>
          <t>NUV-P075</t>
        </is>
      </c>
      <c r="B79" s="9" t="inlineStr">
        <is>
          <t>L1</t>
        </is>
      </c>
      <c r="C79" s="9" t="inlineStr">
        <is>
          <t>About</t>
        </is>
      </c>
      <c r="D79" s="9" t="inlineStr">
        <is>
          <t>Apply for the CSP Guarantee</t>
        </is>
      </c>
      <c r="E79" s="9" t="inlineStr">
        <is>
          <t>/solutions/sales-enablement/counselor-salesperson-365-guarantee-program-enrollment/</t>
        </is>
      </c>
      <c r="F79" s="8" t="inlineStr">
        <is>
          <t>Architecture L1</t>
        </is>
      </c>
      <c r="G79" s="11" t="inlineStr">
        <is>
          <t>NEW</t>
        </is>
      </c>
      <c r="H79" s="10" t="inlineStr">
        <is>
          <t>Most Aware</t>
        </is>
      </c>
      <c r="I79" s="10" t="inlineStr">
        <is>
          <t>Product Aware</t>
        </is>
      </c>
      <c r="J79" s="10" t="inlineStr">
        <is>
          <t>Qualify enterprise buyers for the CSP Guarantee and route eligible interest into the appropriate sales process.</t>
        </is>
      </c>
      <c r="K79" s="10" t="inlineStr">
        <is>
          <t>Apply / Discuss Eligibility</t>
        </is>
      </c>
      <c r="L79" s="10" t="inlineStr"/>
      <c r="M79" s="8" t="inlineStr">
        <is>
          <t>/apply-guarantee/</t>
        </is>
      </c>
      <c r="N79" s="9" t="inlineStr">
        <is>
          <t>Apply for the CSP Performance Guarantee | NuVue</t>
        </is>
      </c>
      <c r="O79" s="8">
        <f>IF(N79="","",LEN(N79))</f>
        <v/>
      </c>
      <c r="P79" s="9" t="inlineStr">
        <is>
          <t>Pay-for-performance sales training: a six-figure revenue gain per rep or you don't pay. Apply to see if your team qualifies for the CSP Guarantee.</t>
        </is>
      </c>
      <c r="Q79" s="8">
        <f>IF(P79="","",LEN(P79))</f>
        <v/>
      </c>
      <c r="R79" s="10" t="inlineStr"/>
      <c r="S79" s="10" t="inlineStr">
        <is>
          <t>Apply for the CSP Performance Guarantee</t>
        </is>
      </c>
      <c r="T79" s="9" t="inlineStr">
        <is>
          <t>WebPage, Offer, BreadcrumbList</t>
        </is>
      </c>
      <c r="U79" s="9" t="inlineStr">
        <is>
          <t>WebPage describing the guarantee; Offer/Service (priceSpecification or eligibility via audience: 50+ reps). BreadcrumbList.</t>
        </is>
      </c>
      <c r="V79" s="10" t="inlineStr">
        <is>
          <t>See source notes / approved proof library where applicable</t>
        </is>
      </c>
      <c r="W79" s="10" t="inlineStr">
        <is>
          <t>Eligibility/application start; completion; qualified status</t>
        </is>
      </c>
      <c r="X79" s="8" t="inlineStr">
        <is>
          <t>YES — 301</t>
        </is>
      </c>
      <c r="Y79" s="9" t="inlineStr">
        <is>
          <t>Qualifying application — 100+ reps requirement | Qualifying application. Differentiator - keep claim language verifiable.</t>
        </is>
      </c>
      <c r="Z79" s="10" t="inlineStr">
        <is>
          <t>DRAFT — HUMAN REVIEW</t>
        </is>
      </c>
      <c r="AA79" s="10" t="inlineStr"/>
    </row>
    <row r="80">
      <c r="A80" s="8" t="inlineStr">
        <is>
          <t>NUV-P076</t>
        </is>
      </c>
      <c r="B80" s="9" t="inlineStr">
        <is>
          <t>L1</t>
        </is>
      </c>
      <c r="C80" s="9" t="inlineStr">
        <is>
          <t>About</t>
        </is>
      </c>
      <c r="D80" s="9" t="inlineStr">
        <is>
          <t>Contact Us</t>
        </is>
      </c>
      <c r="E80" s="9" t="inlineStr">
        <is>
          <t>/contact-us/</t>
        </is>
      </c>
      <c r="F80" s="8" t="inlineStr">
        <is>
          <t>Architecture L1</t>
        </is>
      </c>
      <c r="G80" s="9" t="inlineStr">
        <is>
          <t>EXISTS</t>
        </is>
      </c>
      <c r="H80" s="10" t="inlineStr">
        <is>
          <t>TBD — HUMAN REVIEW</t>
        </is>
      </c>
      <c r="I80" s="10" t="inlineStr"/>
      <c r="J80" s="10" t="inlineStr">
        <is>
          <t>Enhanced with Zoho CRM integration</t>
        </is>
      </c>
      <c r="K80" s="10" t="inlineStr"/>
      <c r="L80" s="10" t="inlineStr"/>
      <c r="M80" s="8" t="inlineStr">
        <is>
          <t>/contact/</t>
        </is>
      </c>
      <c r="N80" s="9" t="inlineStr">
        <is>
          <t>Contact NuVue | Sales Training Experts</t>
        </is>
      </c>
      <c r="O80" s="8">
        <f>IF(N80="","",LEN(N80))</f>
        <v/>
      </c>
      <c r="P80" s="9" t="inlineStr">
        <is>
          <t>Get in touch with NuVue for sales and leadership training, public seminars, or partnership questions. We respond quickly and are glad to help.</t>
        </is>
      </c>
      <c r="Q80" s="8">
        <f>IF(P80="","",LEN(P80))</f>
        <v/>
      </c>
      <c r="R80" s="10" t="inlineStr"/>
      <c r="S80" s="10" t="inlineStr">
        <is>
          <t>Contact NuVue | Sales Training Experts</t>
        </is>
      </c>
      <c r="T80" s="9" t="inlineStr">
        <is>
          <t>ContactPage, Organization, BreadcrumbList</t>
        </is>
      </c>
      <c r="U80" s="9" t="inlineStr">
        <is>
          <t>ContactPage with Organization contactPoint (telephone, email, contactType, areaServed, availableLanguage). BreadcrumbList.</t>
        </is>
      </c>
      <c r="V80" s="10" t="inlineStr">
        <is>
          <t>See source notes / approved proof library where applicable</t>
        </is>
      </c>
      <c r="W80" s="10" t="inlineStr"/>
      <c r="X80" s="8" t="inlineStr">
        <is>
          <t>YES — 301</t>
        </is>
      </c>
      <c r="Y80" s="9" t="inlineStr">
        <is>
          <t>Enhanced with Zoho CRM integration | Enhanced with Zoho CRM integration.</t>
        </is>
      </c>
      <c r="Z80" s="10" t="inlineStr">
        <is>
          <t>DRAFT — HUMAN REVIEW</t>
        </is>
      </c>
      <c r="AA80" s="12" t="inlineStr">
        <is>
          <t>Buyer intent</t>
        </is>
      </c>
    </row>
    <row r="81">
      <c r="A81" s="8" t="inlineStr">
        <is>
          <t>NUV-P077</t>
        </is>
      </c>
      <c r="B81" s="9" t="inlineStr">
        <is>
          <t>L1</t>
        </is>
      </c>
      <c r="C81" s="9" t="inlineStr">
        <is>
          <t>About</t>
        </is>
      </c>
      <c r="D81" s="9" t="inlineStr">
        <is>
          <t>Self-Assessment Quiz</t>
        </is>
      </c>
      <c r="E81" s="9" t="inlineStr"/>
      <c r="F81" s="8" t="inlineStr">
        <is>
          <t>Architecture L1</t>
        </is>
      </c>
      <c r="G81" s="11" t="inlineStr">
        <is>
          <t>NEW</t>
        </is>
      </c>
      <c r="H81" s="10" t="inlineStr">
        <is>
          <t>Problem Aware</t>
        </is>
      </c>
      <c r="I81" s="10" t="inlineStr"/>
      <c r="J81" s="10" t="inlineStr">
        <is>
          <t>"What's Holding Your Sales Team Back?" — transitional CTA, lead capture</t>
        </is>
      </c>
      <c r="K81" s="10" t="inlineStr"/>
      <c r="L81" s="10" t="inlineStr"/>
      <c r="M81" s="8" t="inlineStr">
        <is>
          <t>/quiz/</t>
        </is>
      </c>
      <c r="N81" s="9" t="inlineStr">
        <is>
          <t>What's Holding Your Sales Team Back? | NuVue</t>
        </is>
      </c>
      <c r="O81" s="8">
        <f>IF(N81="","",LEN(N81))</f>
        <v/>
      </c>
      <c r="P81" s="9" t="inlineStr">
        <is>
          <t>Take our 2-minute self-assessment to pinpoint what's limiting your sales results, then get tailored training recommendations from NuVue's experts.</t>
        </is>
      </c>
      <c r="Q81" s="8">
        <f>IF(P81="","",LEN(P81))</f>
        <v/>
      </c>
      <c r="R81" s="10" t="inlineStr"/>
      <c r="S81" s="10" t="inlineStr">
        <is>
          <t>What's Holding Your Sales Team Back?</t>
        </is>
      </c>
      <c r="T81" s="9" t="inlineStr">
        <is>
          <t>WebPage, Quiz, BreadcrumbList</t>
        </is>
      </c>
      <c r="U81" s="9" t="inlineStr">
        <is>
          <t>WebPage hosting a Quiz (about, educationalAlignment, hasPart: Question/Answer). BreadcrumbList. Transitional CTA + lead capture.</t>
        </is>
      </c>
      <c r="V81" s="10" t="inlineStr">
        <is>
          <t>See source notes / approved proof library where applicable</t>
        </is>
      </c>
      <c r="W81" s="10" t="inlineStr"/>
      <c r="X81" s="8" t="inlineStr">
        <is>
          <t>NO — new URL</t>
        </is>
      </c>
      <c r="Y81" s="9" t="inlineStr">
        <is>
          <t>"What's Holding Your Sales Team Back?" — transitional CTA, lead capture | Replaces ARA Navigator 360 online. Feeds buyer paths.</t>
        </is>
      </c>
      <c r="Z81" s="10" t="inlineStr">
        <is>
          <t>DRAFT — HUMAN REVIEW</t>
        </is>
      </c>
      <c r="AA81" s="10" t="inlineStr"/>
    </row>
    <row r="82">
      <c r="A82" s="8" t="inlineStr">
        <is>
          <t>NUV-P078</t>
        </is>
      </c>
      <c r="B82" s="9" t="inlineStr">
        <is>
          <t>L1</t>
        </is>
      </c>
      <c r="C82" s="9" t="inlineStr">
        <is>
          <t>About</t>
        </is>
      </c>
      <c r="D82" s="9" t="inlineStr">
        <is>
          <t>Thank You / Confirmation</t>
        </is>
      </c>
      <c r="E82" s="9" t="inlineStr">
        <is>
          <t>/thank-you/</t>
        </is>
      </c>
      <c r="F82" s="8" t="inlineStr">
        <is>
          <t>Architecture L1</t>
        </is>
      </c>
      <c r="G82" s="9" t="inlineStr">
        <is>
          <t>EXISTS</t>
        </is>
      </c>
      <c r="H82" s="10" t="inlineStr">
        <is>
          <t>TBD — HUMAN REVIEW</t>
        </is>
      </c>
      <c r="I82" s="10" t="inlineStr"/>
      <c r="J82" s="10" t="inlineStr">
        <is>
          <t>Post-conversion page</t>
        </is>
      </c>
      <c r="K82" s="10" t="inlineStr"/>
      <c r="L82" s="10" t="inlineStr"/>
      <c r="M82" s="8" t="inlineStr">
        <is>
          <t>/thank-you/</t>
        </is>
      </c>
      <c r="N82" s="8" t="inlineStr"/>
      <c r="O82" s="8">
        <f>IF(N82="","",LEN(N82))</f>
        <v/>
      </c>
      <c r="P82" s="8" t="inlineStr"/>
      <c r="Q82" s="8">
        <f>IF(P82="","",LEN(P82))</f>
        <v/>
      </c>
      <c r="R82" s="10" t="inlineStr"/>
      <c r="S82" s="10" t="inlineStr"/>
      <c r="T82" s="8" t="inlineStr"/>
      <c r="U82" s="8" t="inlineStr"/>
      <c r="V82" s="10" t="inlineStr">
        <is>
          <t>See source notes / approved proof library where applicable</t>
        </is>
      </c>
      <c r="W82" s="10" t="inlineStr"/>
      <c r="X82" s="8" t="inlineStr">
        <is>
          <t>NO</t>
        </is>
      </c>
      <c r="Y82" s="9" t="inlineStr">
        <is>
          <t>Post-conversion page</t>
        </is>
      </c>
      <c r="Z82" s="10" t="inlineStr">
        <is>
          <t>DRAFT — HUMAN REVIEW</t>
        </is>
      </c>
      <c r="AA82" s="12" t="inlineStr">
        <is>
          <t>Buyer intent, Metadata, Schema</t>
        </is>
      </c>
    </row>
    <row r="83">
      <c r="A83" s="8" t="inlineStr">
        <is>
          <t>NUV-P079</t>
        </is>
      </c>
      <c r="B83" s="9" t="inlineStr">
        <is>
          <t>L1</t>
        </is>
      </c>
      <c r="C83" s="9" t="inlineStr">
        <is>
          <t>About</t>
        </is>
      </c>
      <c r="D83" s="9" t="inlineStr">
        <is>
          <t>Store</t>
        </is>
      </c>
      <c r="E83" s="9" t="inlineStr">
        <is>
          <t>/store/</t>
        </is>
      </c>
      <c r="F83" s="8" t="inlineStr">
        <is>
          <t>Architecture L1</t>
        </is>
      </c>
      <c r="G83" s="9" t="inlineStr">
        <is>
          <t>ENHANCED</t>
        </is>
      </c>
      <c r="H83" s="10" t="inlineStr">
        <is>
          <t>TBD — HUMAN REVIEW</t>
        </is>
      </c>
      <c r="I83" s="10" t="inlineStr"/>
      <c r="J83" s="10" t="inlineStr">
        <is>
          <t>Expanded WooCommerce — seminars, LTNS, curriculum subscriptions</t>
        </is>
      </c>
      <c r="K83" s="10" t="inlineStr"/>
      <c r="L83" s="10" t="inlineStr"/>
      <c r="M83" s="8" t="inlineStr">
        <is>
          <t>/store/</t>
        </is>
      </c>
      <c r="N83" s="8" t="inlineStr"/>
      <c r="O83" s="8">
        <f>IF(N83="","",LEN(N83))</f>
        <v/>
      </c>
      <c r="P83" s="8" t="inlineStr"/>
      <c r="Q83" s="8">
        <f>IF(P83="","",LEN(P83))</f>
        <v/>
      </c>
      <c r="R83" s="10" t="inlineStr"/>
      <c r="S83" s="10" t="inlineStr"/>
      <c r="T83" s="8" t="inlineStr"/>
      <c r="U83" s="8" t="inlineStr"/>
      <c r="V83" s="10" t="inlineStr">
        <is>
          <t>See source notes / approved proof library where applicable</t>
        </is>
      </c>
      <c r="W83" s="10" t="inlineStr"/>
      <c r="X83" s="8" t="inlineStr">
        <is>
          <t>NO</t>
        </is>
      </c>
      <c r="Y83" s="9" t="inlineStr">
        <is>
          <t>Expanded WooCommerce — seminars, LTNS, curriculum subscriptions</t>
        </is>
      </c>
      <c r="Z83" s="10" t="inlineStr">
        <is>
          <t>DRAFT — HUMAN REVIEW</t>
        </is>
      </c>
      <c r="AA83" s="12" t="inlineStr">
        <is>
          <t>Buyer intent, Metadata, Schema</t>
        </is>
      </c>
    </row>
    <row r="84">
      <c r="A84" s="8" t="inlineStr">
        <is>
          <t>NUV-P080</t>
        </is>
      </c>
      <c r="B84" s="9" t="inlineStr">
        <is>
          <t>L1</t>
        </is>
      </c>
      <c r="C84" s="9" t="inlineStr">
        <is>
          <t>About</t>
        </is>
      </c>
      <c r="D84" s="9" t="inlineStr">
        <is>
          <t>Cart</t>
        </is>
      </c>
      <c r="E84" s="9" t="inlineStr">
        <is>
          <t>/cart/</t>
        </is>
      </c>
      <c r="F84" s="8" t="inlineStr">
        <is>
          <t>Architecture L1</t>
        </is>
      </c>
      <c r="G84" s="9" t="inlineStr">
        <is>
          <t>EXISTS</t>
        </is>
      </c>
      <c r="H84" s="10" t="inlineStr">
        <is>
          <t>TBD — HUMAN REVIEW</t>
        </is>
      </c>
      <c r="I84" s="10" t="inlineStr"/>
      <c r="J84" s="10" t="inlineStr">
        <is>
          <t>Existing</t>
        </is>
      </c>
      <c r="K84" s="10" t="inlineStr"/>
      <c r="L84" s="10" t="inlineStr"/>
      <c r="M84" s="8" t="inlineStr">
        <is>
          <t>/cart/</t>
        </is>
      </c>
      <c r="N84" s="8" t="inlineStr"/>
      <c r="O84" s="8">
        <f>IF(N84="","",LEN(N84))</f>
        <v/>
      </c>
      <c r="P84" s="8" t="inlineStr"/>
      <c r="Q84" s="8">
        <f>IF(P84="","",LEN(P84))</f>
        <v/>
      </c>
      <c r="R84" s="10" t="inlineStr"/>
      <c r="S84" s="10" t="inlineStr"/>
      <c r="T84" s="8" t="inlineStr"/>
      <c r="U84" s="8" t="inlineStr"/>
      <c r="V84" s="10" t="inlineStr">
        <is>
          <t>See source notes / approved proof library where applicable</t>
        </is>
      </c>
      <c r="W84" s="10" t="inlineStr"/>
      <c r="X84" s="8" t="inlineStr">
        <is>
          <t>NO</t>
        </is>
      </c>
      <c r="Y84" s="9" t="inlineStr">
        <is>
          <t>Existing</t>
        </is>
      </c>
      <c r="Z84" s="10" t="inlineStr">
        <is>
          <t>DRAFT — HUMAN REVIEW</t>
        </is>
      </c>
      <c r="AA84" s="12" t="inlineStr">
        <is>
          <t>Buyer intent, Metadata, Schema</t>
        </is>
      </c>
    </row>
    <row r="85">
      <c r="A85" s="8" t="inlineStr">
        <is>
          <t>NUV-P081</t>
        </is>
      </c>
      <c r="B85" s="9" t="inlineStr">
        <is>
          <t>L1</t>
        </is>
      </c>
      <c r="C85" s="9" t="inlineStr">
        <is>
          <t>About</t>
        </is>
      </c>
      <c r="D85" s="9" t="inlineStr">
        <is>
          <t>Checkout</t>
        </is>
      </c>
      <c r="E85" s="9" t="inlineStr">
        <is>
          <t>/checkout/</t>
        </is>
      </c>
      <c r="F85" s="8" t="inlineStr">
        <is>
          <t>Architecture L1</t>
        </is>
      </c>
      <c r="G85" s="9" t="inlineStr">
        <is>
          <t>EXISTS</t>
        </is>
      </c>
      <c r="H85" s="10" t="inlineStr">
        <is>
          <t>TBD — HUMAN REVIEW</t>
        </is>
      </c>
      <c r="I85" s="10" t="inlineStr"/>
      <c r="J85" s="10" t="inlineStr">
        <is>
          <t>Existing</t>
        </is>
      </c>
      <c r="K85" s="10" t="inlineStr"/>
      <c r="L85" s="10" t="inlineStr"/>
      <c r="M85" s="8" t="inlineStr">
        <is>
          <t>/checkout/</t>
        </is>
      </c>
      <c r="N85" s="8" t="inlineStr"/>
      <c r="O85" s="8">
        <f>IF(N85="","",LEN(N85))</f>
        <v/>
      </c>
      <c r="P85" s="8" t="inlineStr"/>
      <c r="Q85" s="8">
        <f>IF(P85="","",LEN(P85))</f>
        <v/>
      </c>
      <c r="R85" s="10" t="inlineStr"/>
      <c r="S85" s="10" t="inlineStr"/>
      <c r="T85" s="8" t="inlineStr"/>
      <c r="U85" s="8" t="inlineStr"/>
      <c r="V85" s="10" t="inlineStr">
        <is>
          <t>See source notes / approved proof library where applicable</t>
        </is>
      </c>
      <c r="W85" s="10" t="inlineStr"/>
      <c r="X85" s="8" t="inlineStr">
        <is>
          <t>NO</t>
        </is>
      </c>
      <c r="Y85" s="9" t="inlineStr">
        <is>
          <t>Existing</t>
        </is>
      </c>
      <c r="Z85" s="10" t="inlineStr">
        <is>
          <t>DRAFT — HUMAN REVIEW</t>
        </is>
      </c>
      <c r="AA85" s="12" t="inlineStr">
        <is>
          <t>Buyer intent, Metadata, Schema</t>
        </is>
      </c>
    </row>
    <row r="86">
      <c r="A86" s="8" t="inlineStr">
        <is>
          <t>NUV-P082</t>
        </is>
      </c>
      <c r="B86" s="9" t="inlineStr">
        <is>
          <t>L1</t>
        </is>
      </c>
      <c r="C86" s="9" t="inlineStr">
        <is>
          <t>About</t>
        </is>
      </c>
      <c r="D86" s="9" t="inlineStr">
        <is>
          <t>My Account</t>
        </is>
      </c>
      <c r="E86" s="9" t="inlineStr">
        <is>
          <t>/my-account/</t>
        </is>
      </c>
      <c r="F86" s="8" t="inlineStr">
        <is>
          <t>Architecture L1</t>
        </is>
      </c>
      <c r="G86" s="9" t="inlineStr">
        <is>
          <t>EXISTS</t>
        </is>
      </c>
      <c r="H86" s="10" t="inlineStr">
        <is>
          <t>TBD — HUMAN REVIEW</t>
        </is>
      </c>
      <c r="I86" s="10" t="inlineStr"/>
      <c r="J86" s="10" t="inlineStr">
        <is>
          <t>Existing</t>
        </is>
      </c>
      <c r="K86" s="10" t="inlineStr"/>
      <c r="L86" s="10" t="inlineStr"/>
      <c r="M86" s="8" t="inlineStr">
        <is>
          <t>/my-account/</t>
        </is>
      </c>
      <c r="N86" s="8" t="inlineStr"/>
      <c r="O86" s="8">
        <f>IF(N86="","",LEN(N86))</f>
        <v/>
      </c>
      <c r="P86" s="8" t="inlineStr"/>
      <c r="Q86" s="8">
        <f>IF(P86="","",LEN(P86))</f>
        <v/>
      </c>
      <c r="R86" s="10" t="inlineStr"/>
      <c r="S86" s="10" t="inlineStr"/>
      <c r="T86" s="8" t="inlineStr"/>
      <c r="U86" s="8" t="inlineStr"/>
      <c r="V86" s="10" t="inlineStr">
        <is>
          <t>See source notes / approved proof library where applicable</t>
        </is>
      </c>
      <c r="W86" s="10" t="inlineStr"/>
      <c r="X86" s="8" t="inlineStr">
        <is>
          <t>NO</t>
        </is>
      </c>
      <c r="Y86" s="9" t="inlineStr">
        <is>
          <t>Existing</t>
        </is>
      </c>
      <c r="Z86" s="10" t="inlineStr">
        <is>
          <t>DRAFT — HUMAN REVIEW</t>
        </is>
      </c>
      <c r="AA86" s="12" t="inlineStr">
        <is>
          <t>Buyer intent, Metadata, Schema</t>
        </is>
      </c>
    </row>
    <row r="87">
      <c r="A87" s="8" t="inlineStr">
        <is>
          <t>NUV-P083</t>
        </is>
      </c>
      <c r="B87" s="9" t="inlineStr">
        <is>
          <t>L1</t>
        </is>
      </c>
      <c r="C87" s="9" t="inlineStr">
        <is>
          <t>About</t>
        </is>
      </c>
      <c r="D87" s="9" t="inlineStr">
        <is>
          <t>My Bookings</t>
        </is>
      </c>
      <c r="E87" s="9" t="inlineStr">
        <is>
          <t>/my-bookings/</t>
        </is>
      </c>
      <c r="F87" s="8" t="inlineStr">
        <is>
          <t>Architecture L1</t>
        </is>
      </c>
      <c r="G87" s="9" t="inlineStr">
        <is>
          <t>EXISTS</t>
        </is>
      </c>
      <c r="H87" s="10" t="inlineStr">
        <is>
          <t>TBD — HUMAN REVIEW</t>
        </is>
      </c>
      <c r="I87" s="10" t="inlineStr"/>
      <c r="J87" s="10" t="inlineStr">
        <is>
          <t>Existing</t>
        </is>
      </c>
      <c r="K87" s="10" t="inlineStr"/>
      <c r="L87" s="10" t="inlineStr"/>
      <c r="M87" s="8" t="inlineStr">
        <is>
          <t>/my-bookings/</t>
        </is>
      </c>
      <c r="N87" s="8" t="inlineStr"/>
      <c r="O87" s="8">
        <f>IF(N87="","",LEN(N87))</f>
        <v/>
      </c>
      <c r="P87" s="8" t="inlineStr"/>
      <c r="Q87" s="8">
        <f>IF(P87="","",LEN(P87))</f>
        <v/>
      </c>
      <c r="R87" s="10" t="inlineStr"/>
      <c r="S87" s="10" t="inlineStr"/>
      <c r="T87" s="8" t="inlineStr"/>
      <c r="U87" s="8" t="inlineStr"/>
      <c r="V87" s="10" t="inlineStr">
        <is>
          <t>See source notes / approved proof library where applicable</t>
        </is>
      </c>
      <c r="W87" s="10" t="inlineStr"/>
      <c r="X87" s="8" t="inlineStr">
        <is>
          <t>NO</t>
        </is>
      </c>
      <c r="Y87" s="9" t="inlineStr">
        <is>
          <t>Existing</t>
        </is>
      </c>
      <c r="Z87" s="10" t="inlineStr">
        <is>
          <t>DRAFT — HUMAN REVIEW</t>
        </is>
      </c>
      <c r="AA87" s="12" t="inlineStr">
        <is>
          <t>Buyer intent, Metadata, Schema</t>
        </is>
      </c>
    </row>
    <row r="88">
      <c r="A88" s="8" t="inlineStr">
        <is>
          <t>NUV-P084</t>
        </is>
      </c>
      <c r="B88" s="9" t="inlineStr">
        <is>
          <t>L1</t>
        </is>
      </c>
      <c r="C88" s="9" t="inlineStr">
        <is>
          <t>About</t>
        </is>
      </c>
      <c r="D88" s="9" t="inlineStr">
        <is>
          <t>Privacy Policy</t>
        </is>
      </c>
      <c r="E88" s="9" t="inlineStr">
        <is>
          <t>/privacy-policy/</t>
        </is>
      </c>
      <c r="F88" s="8" t="inlineStr">
        <is>
          <t>Architecture L1</t>
        </is>
      </c>
      <c r="G88" s="9" t="inlineStr">
        <is>
          <t>EXISTS</t>
        </is>
      </c>
      <c r="H88" s="10" t="inlineStr">
        <is>
          <t>TBD — HUMAN REVIEW</t>
        </is>
      </c>
      <c r="I88" s="10" t="inlineStr"/>
      <c r="J88" s="10" t="inlineStr">
        <is>
          <t>Existing</t>
        </is>
      </c>
      <c r="K88" s="10" t="inlineStr"/>
      <c r="L88" s="10" t="inlineStr"/>
      <c r="M88" s="8" t="inlineStr">
        <is>
          <t>/privacy-policy/</t>
        </is>
      </c>
      <c r="N88" s="8" t="inlineStr"/>
      <c r="O88" s="8">
        <f>IF(N88="","",LEN(N88))</f>
        <v/>
      </c>
      <c r="P88" s="8" t="inlineStr"/>
      <c r="Q88" s="8">
        <f>IF(P88="","",LEN(P88))</f>
        <v/>
      </c>
      <c r="R88" s="10" t="inlineStr"/>
      <c r="S88" s="10" t="inlineStr"/>
      <c r="T88" s="8" t="inlineStr"/>
      <c r="U88" s="8" t="inlineStr"/>
      <c r="V88" s="10" t="inlineStr">
        <is>
          <t>See source notes / approved proof library where applicable</t>
        </is>
      </c>
      <c r="W88" s="10" t="inlineStr"/>
      <c r="X88" s="8" t="inlineStr">
        <is>
          <t>NO</t>
        </is>
      </c>
      <c r="Y88" s="9" t="inlineStr">
        <is>
          <t>Existing</t>
        </is>
      </c>
      <c r="Z88" s="10" t="inlineStr">
        <is>
          <t>DRAFT — HUMAN REVIEW</t>
        </is>
      </c>
      <c r="AA88" s="12" t="inlineStr">
        <is>
          <t>Buyer intent, Metadata, Schema</t>
        </is>
      </c>
    </row>
    <row r="89">
      <c r="A89" s="8" t="inlineStr">
        <is>
          <t>NUV-P085</t>
        </is>
      </c>
      <c r="B89" s="9" t="inlineStr">
        <is>
          <t>L1</t>
        </is>
      </c>
      <c r="C89" s="9" t="inlineStr">
        <is>
          <t>About</t>
        </is>
      </c>
      <c r="D89" s="9" t="inlineStr">
        <is>
          <t>Communication Preferences</t>
        </is>
      </c>
      <c r="E89" s="9" t="inlineStr">
        <is>
          <t>/communication-preferences/</t>
        </is>
      </c>
      <c r="F89" s="8" t="inlineStr">
        <is>
          <t>Architecture L1</t>
        </is>
      </c>
      <c r="G89" s="9" t="inlineStr">
        <is>
          <t>EXISTS</t>
        </is>
      </c>
      <c r="H89" s="10" t="inlineStr">
        <is>
          <t>TBD — HUMAN REVIEW</t>
        </is>
      </c>
      <c r="I89" s="10" t="inlineStr"/>
      <c r="J89" s="10" t="inlineStr">
        <is>
          <t>Existing</t>
        </is>
      </c>
      <c r="K89" s="10" t="inlineStr"/>
      <c r="L89" s="10" t="inlineStr"/>
      <c r="M89" s="8" t="inlineStr">
        <is>
          <t>/communication-preferences/</t>
        </is>
      </c>
      <c r="N89" s="8" t="inlineStr"/>
      <c r="O89" s="8">
        <f>IF(N89="","",LEN(N89))</f>
        <v/>
      </c>
      <c r="P89" s="8" t="inlineStr"/>
      <c r="Q89" s="8">
        <f>IF(P89="","",LEN(P89))</f>
        <v/>
      </c>
      <c r="R89" s="10" t="inlineStr"/>
      <c r="S89" s="10" t="inlineStr"/>
      <c r="T89" s="8" t="inlineStr"/>
      <c r="U89" s="8" t="inlineStr"/>
      <c r="V89" s="10" t="inlineStr">
        <is>
          <t>See source notes / approved proof library where applicable</t>
        </is>
      </c>
      <c r="W89" s="10" t="inlineStr"/>
      <c r="X89" s="8" t="inlineStr">
        <is>
          <t>NO</t>
        </is>
      </c>
      <c r="Y89" s="9" t="inlineStr">
        <is>
          <t>Existing</t>
        </is>
      </c>
      <c r="Z89" s="10" t="inlineStr">
        <is>
          <t>DRAFT — HUMAN REVIEW</t>
        </is>
      </c>
      <c r="AA89" s="12" t="inlineStr">
        <is>
          <t>Buyer intent, Metadata, Schema</t>
        </is>
      </c>
    </row>
    <row r="90">
      <c r="A90" s="8" t="inlineStr">
        <is>
          <t>NUV-P086</t>
        </is>
      </c>
      <c r="B90" s="9" t="inlineStr">
        <is>
          <t>L1</t>
        </is>
      </c>
      <c r="C90" s="9" t="inlineStr">
        <is>
          <t>Pages To Hide From Navigation</t>
        </is>
      </c>
      <c r="D90" s="9" t="inlineStr">
        <is>
          <t>Learning That Never Stops® Sign Up</t>
        </is>
      </c>
      <c r="E90" s="9" t="inlineStr">
        <is>
          <t>/learning-that-never-stops-signup/</t>
        </is>
      </c>
      <c r="F90" s="8" t="inlineStr">
        <is>
          <t>Architecture L1</t>
        </is>
      </c>
      <c r="G90" s="9" t="inlineStr">
        <is>
          <t>EXISTS</t>
        </is>
      </c>
      <c r="H90" s="10" t="inlineStr">
        <is>
          <t>TBD — HUMAN REVIEW</t>
        </is>
      </c>
      <c r="I90" s="10" t="inlineStr"/>
      <c r="J90" s="10" t="inlineStr">
        <is>
          <t>Repositioned as retention &amp; expansion tool, not just reinforcement</t>
        </is>
      </c>
      <c r="K90" s="10" t="inlineStr"/>
      <c r="L90" s="10" t="inlineStr"/>
      <c r="M90" s="8" t="inlineStr"/>
      <c r="N90" s="8" t="inlineStr"/>
      <c r="O90" s="8">
        <f>IF(N90="","",LEN(N90))</f>
        <v/>
      </c>
      <c r="P90" s="8" t="inlineStr"/>
      <c r="Q90" s="8">
        <f>IF(P90="","",LEN(P90))</f>
        <v/>
      </c>
      <c r="R90" s="10" t="inlineStr"/>
      <c r="S90" s="10" t="inlineStr"/>
      <c r="T90" s="8" t="inlineStr"/>
      <c r="U90" s="8" t="inlineStr"/>
      <c r="V90" s="10" t="inlineStr">
        <is>
          <t>See source notes / approved proof library where applicable</t>
        </is>
      </c>
      <c r="W90" s="10" t="inlineStr"/>
      <c r="X90" s="8" t="inlineStr"/>
      <c r="Y90" s="9" t="inlineStr">
        <is>
          <t>Repositioned as retention &amp; expansion tool, not just reinforcement</t>
        </is>
      </c>
      <c r="Z90" s="10" t="inlineStr">
        <is>
          <t>DRAFT — HUMAN REVIEW</t>
        </is>
      </c>
      <c r="AA90" s="12" t="inlineStr">
        <is>
          <t>Buyer intent, Metadata, Schema</t>
        </is>
      </c>
    </row>
    <row r="91">
      <c r="A91" s="8" t="inlineStr">
        <is>
          <t>NUV-P087</t>
        </is>
      </c>
      <c r="B91" s="9" t="inlineStr">
        <is>
          <t>L1</t>
        </is>
      </c>
      <c r="C91" s="9" t="inlineStr">
        <is>
          <t>Pages To Hide From Navigation</t>
        </is>
      </c>
      <c r="D91" s="9" t="inlineStr">
        <is>
          <t>Westlink 6th Man</t>
        </is>
      </c>
      <c r="E91" s="9" t="inlineStr">
        <is>
          <t>/westlink6thman/</t>
        </is>
      </c>
      <c r="F91" s="8" t="inlineStr">
        <is>
          <t>Architecture L1</t>
        </is>
      </c>
      <c r="G91" s="9" t="inlineStr">
        <is>
          <t>EXISTS</t>
        </is>
      </c>
      <c r="H91" s="10" t="inlineStr">
        <is>
          <t>TBD — HUMAN REVIEW</t>
        </is>
      </c>
      <c r="I91" s="10" t="inlineStr"/>
      <c r="J91" s="10" t="inlineStr">
        <is>
          <t>Campaign-specific — archive or redirect</t>
        </is>
      </c>
      <c r="K91" s="10" t="inlineStr"/>
      <c r="L91" s="10" t="inlineStr"/>
      <c r="M91" s="8" t="inlineStr"/>
      <c r="N91" s="8" t="inlineStr"/>
      <c r="O91" s="8">
        <f>IF(N91="","",LEN(N91))</f>
        <v/>
      </c>
      <c r="P91" s="8" t="inlineStr"/>
      <c r="Q91" s="8">
        <f>IF(P91="","",LEN(P91))</f>
        <v/>
      </c>
      <c r="R91" s="10" t="inlineStr"/>
      <c r="S91" s="10" t="inlineStr"/>
      <c r="T91" s="8" t="inlineStr"/>
      <c r="U91" s="8" t="inlineStr"/>
      <c r="V91" s="10" t="inlineStr">
        <is>
          <t>See source notes / approved proof library where applicable</t>
        </is>
      </c>
      <c r="W91" s="10" t="inlineStr"/>
      <c r="X91" s="8" t="inlineStr"/>
      <c r="Y91" s="9" t="inlineStr">
        <is>
          <t>Campaign-specific — archive or redirect</t>
        </is>
      </c>
      <c r="Z91" s="10" t="inlineStr">
        <is>
          <t>DRAFT — HUMAN REVIEW</t>
        </is>
      </c>
      <c r="AA91" s="12" t="inlineStr">
        <is>
          <t>Buyer intent, Metadata, Schema</t>
        </is>
      </c>
    </row>
    <row r="92">
      <c r="A92" s="8" t="inlineStr">
        <is>
          <t>NUV-P088</t>
        </is>
      </c>
      <c r="B92" s="9" t="inlineStr">
        <is>
          <t>L1</t>
        </is>
      </c>
      <c r="C92" s="9" t="inlineStr">
        <is>
          <t>Pages To Hide From Navigation</t>
        </is>
      </c>
      <c r="D92" s="9" t="inlineStr">
        <is>
          <t>Marketing Signup</t>
        </is>
      </c>
      <c r="E92" s="9" t="inlineStr">
        <is>
          <t>/marketingsignup/</t>
        </is>
      </c>
      <c r="F92" s="8" t="inlineStr">
        <is>
          <t>Architecture L1</t>
        </is>
      </c>
      <c r="G92" s="9" t="inlineStr">
        <is>
          <t>EXISTS</t>
        </is>
      </c>
      <c r="H92" s="10" t="inlineStr">
        <is>
          <t>TBD — HUMAN REVIEW</t>
        </is>
      </c>
      <c r="I92" s="10" t="inlineStr"/>
      <c r="J92" s="10" t="inlineStr">
        <is>
          <t>Replace with new conversion pages</t>
        </is>
      </c>
      <c r="K92" s="10" t="inlineStr"/>
      <c r="L92" s="10" t="inlineStr"/>
      <c r="M92" s="8" t="inlineStr"/>
      <c r="N92" s="8" t="inlineStr"/>
      <c r="O92" s="8">
        <f>IF(N92="","",LEN(N92))</f>
        <v/>
      </c>
      <c r="P92" s="8" t="inlineStr"/>
      <c r="Q92" s="8">
        <f>IF(P92="","",LEN(P92))</f>
        <v/>
      </c>
      <c r="R92" s="10" t="inlineStr"/>
      <c r="S92" s="10" t="inlineStr"/>
      <c r="T92" s="8" t="inlineStr"/>
      <c r="U92" s="8" t="inlineStr"/>
      <c r="V92" s="10" t="inlineStr">
        <is>
          <t>See source notes / approved proof library where applicable</t>
        </is>
      </c>
      <c r="W92" s="10" t="inlineStr"/>
      <c r="X92" s="8" t="inlineStr"/>
      <c r="Y92" s="9" t="inlineStr">
        <is>
          <t>Replace with new conversion pages</t>
        </is>
      </c>
      <c r="Z92" s="10" t="inlineStr">
        <is>
          <t>DRAFT — HUMAN REVIEW</t>
        </is>
      </c>
      <c r="AA92" s="12" t="inlineStr">
        <is>
          <t>Buyer intent, Metadata, Schema</t>
        </is>
      </c>
    </row>
    <row r="93">
      <c r="A93" s="8" t="inlineStr">
        <is>
          <t>NUV-P089</t>
        </is>
      </c>
      <c r="B93" s="9" t="inlineStr">
        <is>
          <t>L1</t>
        </is>
      </c>
      <c r="C93" s="9" t="inlineStr">
        <is>
          <t>Pages To Hide From Navigation</t>
        </is>
      </c>
      <c r="D93" s="9" t="inlineStr">
        <is>
          <t>CSP Training Landing Page</t>
        </is>
      </c>
      <c r="E93" s="9" t="inlineStr">
        <is>
          <t>/counselor-salesperson-training-landing-page-contact-form/</t>
        </is>
      </c>
      <c r="F93" s="8" t="inlineStr">
        <is>
          <t>Architecture L1</t>
        </is>
      </c>
      <c r="G93" s="9" t="inlineStr">
        <is>
          <t>EXISTS</t>
        </is>
      </c>
      <c r="H93" s="10" t="inlineStr">
        <is>
          <t>TBD — HUMAN REVIEW</t>
        </is>
      </c>
      <c r="I93" s="10" t="inlineStr"/>
      <c r="J93" s="10" t="inlineStr">
        <is>
          <t>Replace with new CSP page structure</t>
        </is>
      </c>
      <c r="K93" s="10" t="inlineStr"/>
      <c r="L93" s="10" t="inlineStr"/>
      <c r="M93" s="8" t="inlineStr"/>
      <c r="N93" s="8" t="inlineStr"/>
      <c r="O93" s="8">
        <f>IF(N93="","",LEN(N93))</f>
        <v/>
      </c>
      <c r="P93" s="8" t="inlineStr"/>
      <c r="Q93" s="8">
        <f>IF(P93="","",LEN(P93))</f>
        <v/>
      </c>
      <c r="R93" s="10" t="inlineStr"/>
      <c r="S93" s="10" t="inlineStr"/>
      <c r="T93" s="8" t="inlineStr"/>
      <c r="U93" s="8" t="inlineStr"/>
      <c r="V93" s="10" t="inlineStr">
        <is>
          <t>See source notes / approved proof library where applicable</t>
        </is>
      </c>
      <c r="W93" s="10" t="inlineStr"/>
      <c r="X93" s="8" t="inlineStr"/>
      <c r="Y93" s="9" t="inlineStr">
        <is>
          <t>Replace with new CSP page structure</t>
        </is>
      </c>
      <c r="Z93" s="10" t="inlineStr">
        <is>
          <t>DRAFT — HUMAN REVIEW</t>
        </is>
      </c>
      <c r="AA93" s="12" t="inlineStr">
        <is>
          <t>Buyer intent, Metadata, Schema</t>
        </is>
      </c>
    </row>
    <row r="94">
      <c r="A94" s="8" t="inlineStr">
        <is>
          <t>NUV-P090</t>
        </is>
      </c>
      <c r="B94" s="9" t="inlineStr">
        <is>
          <t>L1</t>
        </is>
      </c>
      <c r="C94" s="9" t="inlineStr">
        <is>
          <t>Pages To Retire / Redirect</t>
        </is>
      </c>
      <c r="D94" s="9" t="inlineStr">
        <is>
          <t>Public Seminars 2 (duplicate)</t>
        </is>
      </c>
      <c r="E94" s="9" t="inlineStr">
        <is>
          <t>/public-seminars-2/</t>
        </is>
      </c>
      <c r="F94" s="8" t="inlineStr">
        <is>
          <t>Architecture L1</t>
        </is>
      </c>
      <c r="G94" s="13" t="inlineStr">
        <is>
          <t>RETIRE</t>
        </is>
      </c>
      <c r="H94" s="10" t="inlineStr">
        <is>
          <t>Product Aware / Most Aware</t>
        </is>
      </c>
      <c r="I94" s="10" t="inlineStr">
        <is>
          <t>Solution Aware</t>
        </is>
      </c>
      <c r="J94" s="10" t="inlineStr">
        <is>
          <t>Redirect to /public-seminars/</t>
        </is>
      </c>
      <c r="K94" s="10" t="inlineStr">
        <is>
          <t>Register</t>
        </is>
      </c>
      <c r="L94" s="10" t="inlineStr">
        <is>
          <t>Explore Programs</t>
        </is>
      </c>
      <c r="M94" s="8" t="inlineStr"/>
      <c r="N94" s="8" t="inlineStr"/>
      <c r="O94" s="8">
        <f>IF(N94="","",LEN(N94))</f>
        <v/>
      </c>
      <c r="P94" s="8" t="inlineStr"/>
      <c r="Q94" s="8">
        <f>IF(P94="","",LEN(P94))</f>
        <v/>
      </c>
      <c r="R94" s="10" t="inlineStr"/>
      <c r="S94" s="10" t="inlineStr"/>
      <c r="T94" s="8" t="inlineStr"/>
      <c r="U94" s="8" t="inlineStr"/>
      <c r="V94" s="10" t="inlineStr">
        <is>
          <t>See source notes / approved proof library where applicable</t>
        </is>
      </c>
      <c r="W94" s="10" t="inlineStr">
        <is>
          <t>Registration start; completion; company attribution</t>
        </is>
      </c>
      <c r="X94" s="8" t="inlineStr">
        <is>
          <t>YES — target required</t>
        </is>
      </c>
      <c r="Y94" s="9" t="inlineStr">
        <is>
          <t>Redirect to /public-seminars/</t>
        </is>
      </c>
      <c r="Z94" s="10" t="inlineStr">
        <is>
          <t>DRAFT — HUMAN REVIEW</t>
        </is>
      </c>
      <c r="AA94" s="12" t="inlineStr">
        <is>
          <t>Redirect target</t>
        </is>
      </c>
    </row>
    <row r="95">
      <c r="A95" s="8" t="inlineStr">
        <is>
          <t>NUV-P091</t>
        </is>
      </c>
      <c r="B95" s="9" t="inlineStr">
        <is>
          <t>L1</t>
        </is>
      </c>
      <c r="C95" s="9" t="inlineStr">
        <is>
          <t>Pages To Retire / Redirect</t>
        </is>
      </c>
      <c r="D95" s="9" t="inlineStr">
        <is>
          <t>Customer Service section</t>
        </is>
      </c>
      <c r="E95" s="9" t="inlineStr">
        <is>
          <t>/solutions/customer-service/</t>
        </is>
      </c>
      <c r="F95" s="8" t="inlineStr">
        <is>
          <t>Architecture L1</t>
        </is>
      </c>
      <c r="G95" s="13" t="inlineStr">
        <is>
          <t>RETIRE</t>
        </is>
      </c>
      <c r="H95" s="10" t="inlineStr">
        <is>
          <t>N/A — RETIRE</t>
        </is>
      </c>
      <c r="I95" s="10" t="inlineStr"/>
      <c r="J95" s="10" t="inlineStr">
        <is>
          <t>Programs absorbed into Sales Development or Leadership pillars</t>
        </is>
      </c>
      <c r="K95" s="10" t="inlineStr"/>
      <c r="L95" s="10" t="inlineStr"/>
      <c r="M95" s="8" t="inlineStr"/>
      <c r="N95" s="8" t="inlineStr"/>
      <c r="O95" s="8">
        <f>IF(N95="","",LEN(N95))</f>
        <v/>
      </c>
      <c r="P95" s="8" t="inlineStr"/>
      <c r="Q95" s="8">
        <f>IF(P95="","",LEN(P95))</f>
        <v/>
      </c>
      <c r="R95" s="10" t="inlineStr"/>
      <c r="S95" s="10" t="inlineStr"/>
      <c r="T95" s="8" t="inlineStr"/>
      <c r="U95" s="8" t="inlineStr"/>
      <c r="V95" s="10" t="inlineStr">
        <is>
          <t>See source notes / approved proof library where applicable</t>
        </is>
      </c>
      <c r="W95" s="10" t="inlineStr"/>
      <c r="X95" s="8" t="inlineStr">
        <is>
          <t>YES — target required</t>
        </is>
      </c>
      <c r="Y95" s="9" t="inlineStr">
        <is>
          <t>Programs absorbed into Sales Development or Leadership pillars</t>
        </is>
      </c>
      <c r="Z95" s="10" t="inlineStr">
        <is>
          <t>DRAFT — HUMAN REVIEW</t>
        </is>
      </c>
      <c r="AA95" s="12" t="inlineStr">
        <is>
          <t>Redirect target</t>
        </is>
      </c>
    </row>
    <row r="96">
      <c r="A96" s="8" t="inlineStr">
        <is>
          <t>NUV-P092</t>
        </is>
      </c>
      <c r="B96" s="9" t="inlineStr">
        <is>
          <t>L1</t>
        </is>
      </c>
      <c r="C96" s="9" t="inlineStr">
        <is>
          <t>Pages To Retire / Redirect</t>
        </is>
      </c>
      <c r="D96" s="9" t="inlineStr">
        <is>
          <t>Coaching</t>
        </is>
      </c>
      <c r="E96" s="9" t="inlineStr">
        <is>
          <t>/solutions/coaching/</t>
        </is>
      </c>
      <c r="F96" s="8" t="inlineStr">
        <is>
          <t>Architecture L1</t>
        </is>
      </c>
      <c r="G96" s="13" t="inlineStr">
        <is>
          <t>RETIRE</t>
        </is>
      </c>
      <c r="H96" s="10" t="inlineStr">
        <is>
          <t>N/A — RETIRE</t>
        </is>
      </c>
      <c r="I96" s="10" t="inlineStr"/>
      <c r="J96" s="10" t="inlineStr">
        <is>
          <t>Programs moved to Leadership pillar</t>
        </is>
      </c>
      <c r="K96" s="10" t="inlineStr"/>
      <c r="L96" s="10" t="inlineStr"/>
      <c r="M96" s="8" t="inlineStr"/>
      <c r="N96" s="8" t="inlineStr"/>
      <c r="O96" s="8">
        <f>IF(N96="","",LEN(N96))</f>
        <v/>
      </c>
      <c r="P96" s="8" t="inlineStr"/>
      <c r="Q96" s="8">
        <f>IF(P96="","",LEN(P96))</f>
        <v/>
      </c>
      <c r="R96" s="10" t="inlineStr"/>
      <c r="S96" s="10" t="inlineStr"/>
      <c r="T96" s="8" t="inlineStr"/>
      <c r="U96" s="8" t="inlineStr"/>
      <c r="V96" s="10" t="inlineStr">
        <is>
          <t>See source notes / approved proof library where applicable</t>
        </is>
      </c>
      <c r="W96" s="10" t="inlineStr"/>
      <c r="X96" s="8" t="inlineStr">
        <is>
          <t>YES — target required</t>
        </is>
      </c>
      <c r="Y96" s="9" t="inlineStr">
        <is>
          <t>Programs moved to Leadership pillar</t>
        </is>
      </c>
      <c r="Z96" s="10" t="inlineStr">
        <is>
          <t>DRAFT — HUMAN REVIEW</t>
        </is>
      </c>
      <c r="AA96" s="12" t="inlineStr">
        <is>
          <t>Redirect target</t>
        </is>
      </c>
    </row>
    <row r="97">
      <c r="A97" s="8" t="inlineStr">
        <is>
          <t>NUV-P093</t>
        </is>
      </c>
      <c r="B97" s="9" t="inlineStr">
        <is>
          <t>L2</t>
        </is>
      </c>
      <c r="C97" s="9" t="inlineStr">
        <is>
          <t>Pages To Retire / Redirect</t>
        </is>
      </c>
      <c r="D97" s="9" t="inlineStr">
        <is>
          <t>Sales Curriculum Guide</t>
        </is>
      </c>
      <c r="E97" s="9" t="inlineStr">
        <is>
          <t>/sales-curriculum/</t>
        </is>
      </c>
      <c r="F97" s="8" t="inlineStr">
        <is>
          <t>Architecture L2</t>
        </is>
      </c>
      <c r="G97" s="13" t="inlineStr">
        <is>
          <t>RETIRE</t>
        </is>
      </c>
      <c r="H97" s="10" t="inlineStr">
        <is>
          <t>N/A — RETIRE</t>
        </is>
      </c>
      <c r="I97" s="10" t="inlineStr"/>
      <c r="J97" s="10" t="inlineStr">
        <is>
          <t>Moved from top-level to Resources section</t>
        </is>
      </c>
      <c r="K97" s="10" t="inlineStr">
        <is>
          <t>Explore Relevant Solution</t>
        </is>
      </c>
      <c r="L97" s="10" t="inlineStr">
        <is>
          <t>Request a Consultation</t>
        </is>
      </c>
      <c r="M97" s="8" t="inlineStr"/>
      <c r="N97" s="8" t="inlineStr"/>
      <c r="O97" s="8">
        <f>IF(N97="","",LEN(N97))</f>
        <v/>
      </c>
      <c r="P97" s="8" t="inlineStr"/>
      <c r="Q97" s="8">
        <f>IF(P97="","",LEN(P97))</f>
        <v/>
      </c>
      <c r="R97" s="10" t="inlineStr"/>
      <c r="S97" s="10" t="inlineStr"/>
      <c r="T97" s="8" t="inlineStr"/>
      <c r="U97" s="8" t="inlineStr"/>
      <c r="V97" s="10" t="inlineStr">
        <is>
          <t>See source notes / approved proof library where applicable</t>
        </is>
      </c>
      <c r="W97" s="10" t="inlineStr"/>
      <c r="X97" s="8" t="inlineStr">
        <is>
          <t>YES — target required</t>
        </is>
      </c>
      <c r="Y97" s="9" t="inlineStr">
        <is>
          <t>Moved from top-level to Resources section</t>
        </is>
      </c>
      <c r="Z97" s="10" t="inlineStr">
        <is>
          <t>DRAFT — HUMAN REVIEW</t>
        </is>
      </c>
      <c r="AA97" s="12" t="inlineStr">
        <is>
          <t>Redirect target</t>
        </is>
      </c>
    </row>
    <row r="98">
      <c r="A98" s="8" t="inlineStr">
        <is>
          <t>NUV-P094</t>
        </is>
      </c>
      <c r="B98" s="9" t="inlineStr">
        <is>
          <t>L1</t>
        </is>
      </c>
      <c r="C98" s="9" t="inlineStr">
        <is>
          <t>Pages To Retire / Redirect</t>
        </is>
      </c>
      <c r="D98" s="9" t="inlineStr">
        <is>
          <t>eLearning section</t>
        </is>
      </c>
      <c r="E98" s="9" t="inlineStr">
        <is>
          <t>/solutions/elearning/</t>
        </is>
      </c>
      <c r="F98" s="8" t="inlineStr">
        <is>
          <t>Architecture L1</t>
        </is>
      </c>
      <c r="G98" s="13" t="inlineStr">
        <is>
          <t>RETIRE</t>
        </is>
      </c>
      <c r="H98" s="10" t="inlineStr">
        <is>
          <t>N/A — RETIRE</t>
        </is>
      </c>
      <c r="I98" s="10" t="inlineStr"/>
      <c r="J98" s="10" t="inlineStr">
        <is>
          <t>Programs moved to LTNS hub</t>
        </is>
      </c>
      <c r="K98" s="10" t="inlineStr"/>
      <c r="L98" s="10" t="inlineStr"/>
      <c r="M98" s="8" t="inlineStr"/>
      <c r="N98" s="8" t="inlineStr"/>
      <c r="O98" s="8">
        <f>IF(N98="","",LEN(N98))</f>
        <v/>
      </c>
      <c r="P98" s="8" t="inlineStr"/>
      <c r="Q98" s="8">
        <f>IF(P98="","",LEN(P98))</f>
        <v/>
      </c>
      <c r="R98" s="10" t="inlineStr"/>
      <c r="S98" s="10" t="inlineStr"/>
      <c r="T98" s="8" t="inlineStr"/>
      <c r="U98" s="8" t="inlineStr"/>
      <c r="V98" s="10" t="inlineStr">
        <is>
          <t>See source notes / approved proof library where applicable</t>
        </is>
      </c>
      <c r="W98" s="10" t="inlineStr"/>
      <c r="X98" s="8" t="inlineStr">
        <is>
          <t>YES — target required</t>
        </is>
      </c>
      <c r="Y98" s="9" t="inlineStr">
        <is>
          <t>Programs moved to LTNS hub</t>
        </is>
      </c>
      <c r="Z98" s="10" t="inlineStr">
        <is>
          <t>DRAFT — HUMAN REVIEW</t>
        </is>
      </c>
      <c r="AA98" s="12" t="inlineStr">
        <is>
          <t>Redirect target</t>
        </is>
      </c>
    </row>
    <row r="99">
      <c r="A99" s="8" t="inlineStr">
        <is>
          <t>NUV-P095</t>
        </is>
      </c>
      <c r="B99" s="9" t="inlineStr">
        <is>
          <t>L1</t>
        </is>
      </c>
      <c r="C99" s="9" t="inlineStr">
        <is>
          <t>Pages To Retire / Redirect</t>
        </is>
      </c>
      <c r="D99" s="9" t="inlineStr">
        <is>
          <t>Events</t>
        </is>
      </c>
      <c r="E99" s="9" t="inlineStr">
        <is>
          <t>/events/</t>
        </is>
      </c>
      <c r="F99" s="8" t="inlineStr">
        <is>
          <t>Architecture L1</t>
        </is>
      </c>
      <c r="G99" s="13" t="inlineStr">
        <is>
          <t>RETIRE</t>
        </is>
      </c>
      <c r="H99" s="10" t="inlineStr">
        <is>
          <t>N/A — RETIRE</t>
        </is>
      </c>
      <c r="I99" s="10" t="inlineStr"/>
      <c r="J99" s="10" t="inlineStr">
        <is>
          <t>Replaced by Public Seminars</t>
        </is>
      </c>
      <c r="K99" s="10" t="inlineStr"/>
      <c r="L99" s="10" t="inlineStr"/>
      <c r="M99" s="8" t="inlineStr"/>
      <c r="N99" s="8" t="inlineStr"/>
      <c r="O99" s="8">
        <f>IF(N99="","",LEN(N99))</f>
        <v/>
      </c>
      <c r="P99" s="8" t="inlineStr"/>
      <c r="Q99" s="8">
        <f>IF(P99="","",LEN(P99))</f>
        <v/>
      </c>
      <c r="R99" s="10" t="inlineStr"/>
      <c r="S99" s="10" t="inlineStr"/>
      <c r="T99" s="8" t="inlineStr"/>
      <c r="U99" s="8" t="inlineStr"/>
      <c r="V99" s="10" t="inlineStr">
        <is>
          <t>See source notes / approved proof library where applicable</t>
        </is>
      </c>
      <c r="W99" s="10" t="inlineStr"/>
      <c r="X99" s="8" t="inlineStr">
        <is>
          <t>YES — target required</t>
        </is>
      </c>
      <c r="Y99" s="9" t="inlineStr">
        <is>
          <t>Replaced by Public Seminars</t>
        </is>
      </c>
      <c r="Z99" s="10" t="inlineStr">
        <is>
          <t>DRAFT — HUMAN REVIEW</t>
        </is>
      </c>
      <c r="AA99" s="12" t="inlineStr">
        <is>
          <t>Redirect target</t>
        </is>
      </c>
    </row>
    <row r="100">
      <c r="A100" s="8" t="inlineStr">
        <is>
          <t>NUV-P096</t>
        </is>
      </c>
      <c r="B100" s="9" t="inlineStr">
        <is>
          <t>L1</t>
        </is>
      </c>
      <c r="C100" s="9" t="inlineStr">
        <is>
          <t>Pages To Retire / Redirect</t>
        </is>
      </c>
      <c r="D100" s="9" t="inlineStr">
        <is>
          <t>Logos</t>
        </is>
      </c>
      <c r="E100" s="9" t="inlineStr">
        <is>
          <t>/logos/</t>
        </is>
      </c>
      <c r="F100" s="8" t="inlineStr">
        <is>
          <t>Architecture L1</t>
        </is>
      </c>
      <c r="G100" s="13" t="inlineStr">
        <is>
          <t>RETIRE</t>
        </is>
      </c>
      <c r="H100" s="10" t="inlineStr">
        <is>
          <t>N/A — RETIRE</t>
        </is>
      </c>
      <c r="I100" s="10" t="inlineStr"/>
      <c r="J100" s="10" t="inlineStr">
        <is>
          <t>Internal page — remove from public nav</t>
        </is>
      </c>
      <c r="K100" s="10" t="inlineStr"/>
      <c r="L100" s="10" t="inlineStr"/>
      <c r="M100" s="8" t="inlineStr"/>
      <c r="N100" s="8" t="inlineStr"/>
      <c r="O100" s="8">
        <f>IF(N100="","",LEN(N100))</f>
        <v/>
      </c>
      <c r="P100" s="8" t="inlineStr"/>
      <c r="Q100" s="8">
        <f>IF(P100="","",LEN(P100))</f>
        <v/>
      </c>
      <c r="R100" s="10" t="inlineStr"/>
      <c r="S100" s="10" t="inlineStr"/>
      <c r="T100" s="8" t="inlineStr"/>
      <c r="U100" s="8" t="inlineStr"/>
      <c r="V100" s="10" t="inlineStr">
        <is>
          <t>See source notes / approved proof library where applicable</t>
        </is>
      </c>
      <c r="W100" s="10" t="inlineStr"/>
      <c r="X100" s="8" t="inlineStr">
        <is>
          <t>YES — target required</t>
        </is>
      </c>
      <c r="Y100" s="9" t="inlineStr">
        <is>
          <t>Internal page — remove from public nav</t>
        </is>
      </c>
      <c r="Z100" s="10" t="inlineStr">
        <is>
          <t>DRAFT — HUMAN REVIEW</t>
        </is>
      </c>
      <c r="AA100" s="12" t="inlineStr">
        <is>
          <t>Redirect target</t>
        </is>
      </c>
    </row>
    <row r="101">
      <c r="A101" s="8" t="inlineStr">
        <is>
          <t>NUV-P097</t>
        </is>
      </c>
      <c r="B101" s="9" t="inlineStr">
        <is>
          <t>L1</t>
        </is>
      </c>
      <c r="C101" s="9" t="inlineStr">
        <is>
          <t>Pages To Retire / Redirect</t>
        </is>
      </c>
      <c r="D101" s="9" t="inlineStr">
        <is>
          <t>Locations</t>
        </is>
      </c>
      <c r="E101" s="9" t="inlineStr">
        <is>
          <t>/locations/</t>
        </is>
      </c>
      <c r="F101" s="8" t="inlineStr">
        <is>
          <t>Architecture L1</t>
        </is>
      </c>
      <c r="G101" s="13" t="inlineStr">
        <is>
          <t>RETIRE</t>
        </is>
      </c>
      <c r="H101" s="10" t="inlineStr">
        <is>
          <t>N/A — RETIRE</t>
        </is>
      </c>
      <c r="I101" s="10" t="inlineStr"/>
      <c r="J101" s="10" t="inlineStr">
        <is>
          <t>Low-value page</t>
        </is>
      </c>
      <c r="K101" s="10" t="inlineStr"/>
      <c r="L101" s="10" t="inlineStr"/>
      <c r="M101" s="8" t="inlineStr"/>
      <c r="N101" s="8" t="inlineStr"/>
      <c r="O101" s="8">
        <f>IF(N101="","",LEN(N101))</f>
        <v/>
      </c>
      <c r="P101" s="8" t="inlineStr"/>
      <c r="Q101" s="8">
        <f>IF(P101="","",LEN(P101))</f>
        <v/>
      </c>
      <c r="R101" s="10" t="inlineStr"/>
      <c r="S101" s="10" t="inlineStr"/>
      <c r="T101" s="8" t="inlineStr"/>
      <c r="U101" s="8" t="inlineStr"/>
      <c r="V101" s="10" t="inlineStr">
        <is>
          <t>See source notes / approved proof library where applicable</t>
        </is>
      </c>
      <c r="W101" s="10" t="inlineStr"/>
      <c r="X101" s="8" t="inlineStr">
        <is>
          <t>YES — target required</t>
        </is>
      </c>
      <c r="Y101" s="9" t="inlineStr">
        <is>
          <t>Low-value page</t>
        </is>
      </c>
      <c r="Z101" s="10" t="inlineStr">
        <is>
          <t>DRAFT — HUMAN REVIEW</t>
        </is>
      </c>
      <c r="AA101" s="12" t="inlineStr">
        <is>
          <t>Redirect target</t>
        </is>
      </c>
    </row>
    <row r="102">
      <c r="A102" s="8" t="inlineStr">
        <is>
          <t>NUV-P098</t>
        </is>
      </c>
      <c r="B102" s="9" t="inlineStr">
        <is>
          <t>L1</t>
        </is>
      </c>
      <c r="C102" s="9" t="inlineStr">
        <is>
          <t>Pages To Retire / Redirect</t>
        </is>
      </c>
      <c r="D102" s="9" t="inlineStr">
        <is>
          <t>Categories</t>
        </is>
      </c>
      <c r="E102" s="9" t="inlineStr">
        <is>
          <t>/categories/</t>
        </is>
      </c>
      <c r="F102" s="8" t="inlineStr">
        <is>
          <t>Architecture L1</t>
        </is>
      </c>
      <c r="G102" s="13" t="inlineStr">
        <is>
          <t>RETIRE</t>
        </is>
      </c>
      <c r="H102" s="10" t="inlineStr">
        <is>
          <t>N/A — RETIRE</t>
        </is>
      </c>
      <c r="I102" s="10" t="inlineStr"/>
      <c r="J102" s="10" t="inlineStr">
        <is>
          <t>WP default — not needed</t>
        </is>
      </c>
      <c r="K102" s="10" t="inlineStr"/>
      <c r="L102" s="10" t="inlineStr"/>
      <c r="M102" s="8" t="inlineStr"/>
      <c r="N102" s="8" t="inlineStr"/>
      <c r="O102" s="8">
        <f>IF(N102="","",LEN(N102))</f>
        <v/>
      </c>
      <c r="P102" s="8" t="inlineStr"/>
      <c r="Q102" s="8">
        <f>IF(P102="","",LEN(P102))</f>
        <v/>
      </c>
      <c r="R102" s="10" t="inlineStr"/>
      <c r="S102" s="10" t="inlineStr"/>
      <c r="T102" s="8" t="inlineStr"/>
      <c r="U102" s="8" t="inlineStr"/>
      <c r="V102" s="10" t="inlineStr">
        <is>
          <t>See source notes / approved proof library where applicable</t>
        </is>
      </c>
      <c r="W102" s="10" t="inlineStr"/>
      <c r="X102" s="8" t="inlineStr">
        <is>
          <t>YES — target required</t>
        </is>
      </c>
      <c r="Y102" s="9" t="inlineStr">
        <is>
          <t>WP default — not needed</t>
        </is>
      </c>
      <c r="Z102" s="10" t="inlineStr">
        <is>
          <t>DRAFT — HUMAN REVIEW</t>
        </is>
      </c>
      <c r="AA102" s="12" t="inlineStr">
        <is>
          <t>Redirect target</t>
        </is>
      </c>
    </row>
    <row r="103">
      <c r="A103" s="8" t="inlineStr">
        <is>
          <t>NUV-P099</t>
        </is>
      </c>
      <c r="B103" s="9" t="inlineStr">
        <is>
          <t>L1</t>
        </is>
      </c>
      <c r="C103" s="9" t="inlineStr">
        <is>
          <t>Pages To Retire / Redirect</t>
        </is>
      </c>
      <c r="D103" s="9" t="inlineStr">
        <is>
          <t>Tags</t>
        </is>
      </c>
      <c r="E103" s="9" t="inlineStr">
        <is>
          <t>/tags/</t>
        </is>
      </c>
      <c r="F103" s="8" t="inlineStr">
        <is>
          <t>Architecture L1</t>
        </is>
      </c>
      <c r="G103" s="13" t="inlineStr">
        <is>
          <t>RETIRE</t>
        </is>
      </c>
      <c r="H103" s="10" t="inlineStr">
        <is>
          <t>N/A — RETIRE</t>
        </is>
      </c>
      <c r="I103" s="10" t="inlineStr"/>
      <c r="J103" s="10" t="inlineStr">
        <is>
          <t>WP default — not needed</t>
        </is>
      </c>
      <c r="K103" s="10" t="inlineStr"/>
      <c r="L103" s="10" t="inlineStr"/>
      <c r="M103" s="8" t="inlineStr"/>
      <c r="N103" s="8" t="inlineStr"/>
      <c r="O103" s="8">
        <f>IF(N103="","",LEN(N103))</f>
        <v/>
      </c>
      <c r="P103" s="8" t="inlineStr"/>
      <c r="Q103" s="8">
        <f>IF(P103="","",LEN(P103))</f>
        <v/>
      </c>
      <c r="R103" s="10" t="inlineStr"/>
      <c r="S103" s="10" t="inlineStr"/>
      <c r="T103" s="8" t="inlineStr"/>
      <c r="U103" s="8" t="inlineStr"/>
      <c r="V103" s="10" t="inlineStr">
        <is>
          <t>See source notes / approved proof library where applicable</t>
        </is>
      </c>
      <c r="W103" s="10" t="inlineStr"/>
      <c r="X103" s="8" t="inlineStr">
        <is>
          <t>YES — target required</t>
        </is>
      </c>
      <c r="Y103" s="9" t="inlineStr">
        <is>
          <t>WP default — not needed</t>
        </is>
      </c>
      <c r="Z103" s="10" t="inlineStr">
        <is>
          <t>DRAFT — HUMAN REVIEW</t>
        </is>
      </c>
      <c r="AA103" s="12" t="inlineStr">
        <is>
          <t>Redirect target</t>
        </is>
      </c>
    </row>
  </sheetData>
  <autoFilter ref="A4:AA103"/>
  <mergeCells count="2">
    <mergeCell ref="A1:AA1"/>
    <mergeCell ref="A2:AA2"/>
  </mergeCells>
  <conditionalFormatting sqref="O5:O103">
    <cfRule type="expression" priority="1" dxfId="0">
      <formula>O5&gt;60</formula>
    </cfRule>
  </conditionalFormatting>
  <conditionalFormatting sqref="Q5:Q103">
    <cfRule type="expression" priority="2" dxfId="0">
      <formula>OR(Q5&lt;140,Q5&gt;160)</formula>
    </cfRule>
  </conditionalFormatting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32" customWidth="1" min="4" max="4"/>
    <col width="34" customWidth="1" min="5" max="5"/>
    <col width="13" customWidth="1" min="6" max="6"/>
    <col width="13" customWidth="1" min="7" max="7"/>
    <col width="50" customWidth="1" min="8" max="8"/>
    <col width="22" customWidth="1" min="9" max="9"/>
  </cols>
  <sheetData>
    <row r="1" ht="30" customHeight="1">
      <c r="A1" s="1" t="inlineStr">
        <is>
          <t>Navigation</t>
        </is>
      </c>
    </row>
    <row r="2" ht="34" customHeight="1">
      <c r="A2" s="2" t="inlineStr">
        <is>
          <t>Proposed NuVue navigation context carried forward from the source architecture. Human review required before implementation.</t>
        </is>
      </c>
    </row>
    <row r="4" ht="34" customHeight="1">
      <c r="A4" s="7" t="inlineStr">
        <is>
          <t>Nav Tier</t>
        </is>
      </c>
      <c r="B4" s="7" t="inlineStr">
        <is>
          <t>Level 1</t>
        </is>
      </c>
      <c r="C4" s="7" t="inlineStr">
        <is>
          <t>Level 2</t>
        </is>
      </c>
      <c r="D4" s="7" t="inlineStr">
        <is>
          <t>Level 3</t>
        </is>
      </c>
      <c r="E4" s="7" t="inlineStr">
        <is>
          <t>URL</t>
        </is>
      </c>
      <c r="F4" s="7" t="inlineStr">
        <is>
          <t>Template Qty</t>
        </is>
      </c>
      <c r="G4" s="7" t="inlineStr">
        <is>
          <t>Content Qty</t>
        </is>
      </c>
      <c r="H4" s="7" t="inlineStr">
        <is>
          <t>Notes</t>
        </is>
      </c>
      <c r="I4" s="7" t="inlineStr">
        <is>
          <t>Approval Status</t>
        </is>
      </c>
    </row>
    <row r="5">
      <c r="A5" s="14" t="inlineStr">
        <is>
          <t>Primary</t>
        </is>
      </c>
      <c r="B5" s="14" t="inlineStr">
        <is>
          <t>For Organizations</t>
        </is>
      </c>
      <c r="C5" s="14" t="inlineStr"/>
      <c r="D5" s="14" t="inlineStr"/>
      <c r="E5" s="14" t="inlineStr">
        <is>
          <t>/solutions-for-organizations/</t>
        </is>
      </c>
      <c r="F5" s="14" t="n">
        <v>1</v>
      </c>
      <c r="G5" s="14" t="inlineStr"/>
      <c r="H5" s="14" t="inlineStr">
        <is>
          <t>Search filters for programs/courses by curriculum, search bar, delivery type, level</t>
        </is>
      </c>
      <c r="I5" s="15" t="inlineStr">
        <is>
          <t>DRAFT — HUMAN REVIEW</t>
        </is>
      </c>
    </row>
    <row r="6">
      <c r="A6" s="14" t="inlineStr">
        <is>
          <t>Primary</t>
        </is>
      </c>
      <c r="B6" s="14" t="inlineStr">
        <is>
          <t>For Individuals</t>
        </is>
      </c>
      <c r="C6" s="14" t="inlineStr"/>
      <c r="D6" s="14" t="inlineStr"/>
      <c r="E6" s="14" t="inlineStr">
        <is>
          <t>/solutions-for-professionals/</t>
        </is>
      </c>
      <c r="F6" s="14" t="inlineStr"/>
      <c r="G6" s="14" t="n">
        <v>1</v>
      </c>
      <c r="H6" s="14" t="inlineStr"/>
      <c r="I6" s="15" t="inlineStr">
        <is>
          <t>DRAFT — HUMAN REVIEW</t>
        </is>
      </c>
    </row>
    <row r="7">
      <c r="A7" s="14" t="inlineStr">
        <is>
          <t>Primary</t>
        </is>
      </c>
      <c r="B7" s="14" t="inlineStr">
        <is>
          <t>Industries</t>
        </is>
      </c>
      <c r="C7" s="14" t="inlineStr"/>
      <c r="D7" s="14" t="inlineStr"/>
      <c r="E7" s="14" t="inlineStr">
        <is>
          <t>/industries/</t>
        </is>
      </c>
      <c r="F7" s="14" t="inlineStr"/>
      <c r="G7" s="14" t="inlineStr"/>
      <c r="H7" s="14" t="inlineStr"/>
      <c r="I7" s="15" t="inlineStr">
        <is>
          <t>DRAFT — HUMAN REVIEW</t>
        </is>
      </c>
    </row>
    <row r="8">
      <c r="A8" s="14" t="inlineStr">
        <is>
          <t>Primary</t>
        </is>
      </c>
      <c r="B8" s="14" t="inlineStr"/>
      <c r="C8" s="14" t="inlineStr">
        <is>
          <t>Agriculture</t>
        </is>
      </c>
      <c r="D8" s="14" t="inlineStr"/>
      <c r="E8" s="14" t="inlineStr">
        <is>
          <t>/industries/agriculture/</t>
        </is>
      </c>
      <c r="F8" s="14" t="n">
        <v>1</v>
      </c>
      <c r="G8" s="14" t="n">
        <v>5</v>
      </c>
      <c r="H8" s="14" t="inlineStr">
        <is>
          <t>Ag Sales Onboarding</t>
        </is>
      </c>
      <c r="I8" s="15" t="inlineStr">
        <is>
          <t>DRAFT — HUMAN REVIEW</t>
        </is>
      </c>
    </row>
    <row r="9">
      <c r="A9" s="14" t="inlineStr">
        <is>
          <t>Primary</t>
        </is>
      </c>
      <c r="B9" s="14" t="inlineStr"/>
      <c r="C9" s="14" t="inlineStr">
        <is>
          <t>Manufacturing</t>
        </is>
      </c>
      <c r="D9" s="14" t="inlineStr"/>
      <c r="E9" s="14" t="inlineStr">
        <is>
          <t>/industries/manufacturing/</t>
        </is>
      </c>
      <c r="F9" s="14" t="inlineStr"/>
      <c r="G9" s="14" t="inlineStr"/>
      <c r="H9" s="14" t="inlineStr"/>
      <c r="I9" s="15" t="inlineStr">
        <is>
          <t>DRAFT — HUMAN REVIEW</t>
        </is>
      </c>
    </row>
    <row r="10">
      <c r="A10" s="14" t="inlineStr">
        <is>
          <t>Primary</t>
        </is>
      </c>
      <c r="B10" s="14" t="inlineStr"/>
      <c r="C10" s="14" t="inlineStr">
        <is>
          <t>Insurance &amp; Financial Services</t>
        </is>
      </c>
      <c r="D10" s="14" t="inlineStr"/>
      <c r="E10" s="14" t="inlineStr">
        <is>
          <t>/industries/insurance-financial-services/</t>
        </is>
      </c>
      <c r="F10" s="14" t="inlineStr"/>
      <c r="G10" s="14" t="inlineStr"/>
      <c r="H10" s="14" t="inlineStr"/>
      <c r="I10" s="15" t="inlineStr">
        <is>
          <t>DRAFT — HUMAN REVIEW</t>
        </is>
      </c>
    </row>
    <row r="11">
      <c r="A11" s="14" t="inlineStr">
        <is>
          <t>Primary</t>
        </is>
      </c>
      <c r="B11" s="14" t="inlineStr"/>
      <c r="C11" s="14" t="inlineStr">
        <is>
          <t>Turf &amp; Horticulture</t>
        </is>
      </c>
      <c r="D11" s="14" t="inlineStr"/>
      <c r="E11" s="14" t="inlineStr">
        <is>
          <t>/industries/turf-horticulture/</t>
        </is>
      </c>
      <c r="F11" s="14" t="inlineStr"/>
      <c r="G11" s="14" t="inlineStr"/>
      <c r="H11" s="14" t="inlineStr"/>
      <c r="I11" s="15" t="inlineStr">
        <is>
          <t>DRAFT — HUMAN REVIEW</t>
        </is>
      </c>
    </row>
    <row r="12">
      <c r="A12" s="14" t="inlineStr">
        <is>
          <t>Primary</t>
        </is>
      </c>
      <c r="B12" s="14" t="inlineStr"/>
      <c r="C12" s="14" t="inlineStr">
        <is>
          <t>Sales &amp; Services</t>
        </is>
      </c>
      <c r="D12" s="14" t="inlineStr"/>
      <c r="E12" s="14" t="inlineStr">
        <is>
          <t>/industries/sales-and-services/</t>
        </is>
      </c>
      <c r="F12" s="14" t="inlineStr"/>
      <c r="G12" s="14" t="inlineStr"/>
      <c r="H12" s="14" t="inlineStr"/>
      <c r="I12" s="15" t="inlineStr">
        <is>
          <t>DRAFT — HUMAN REVIEW</t>
        </is>
      </c>
    </row>
    <row r="13">
      <c r="A13" s="14" t="inlineStr">
        <is>
          <t>Primary</t>
        </is>
      </c>
      <c r="B13" s="14" t="inlineStr"/>
      <c r="C13" s="14" t="inlineStr">
        <is>
          <t>Healthcare, Science &amp; Biotech</t>
        </is>
      </c>
      <c r="D13" s="14" t="inlineStr"/>
      <c r="E13" s="14" t="inlineStr">
        <is>
          <t>/industries/healthcare-science-biotech/</t>
        </is>
      </c>
      <c r="F13" s="14" t="inlineStr"/>
      <c r="G13" s="14" t="inlineStr"/>
      <c r="H13" s="14" t="inlineStr"/>
      <c r="I13" s="15" t="inlineStr">
        <is>
          <t>DRAFT — HUMAN REVIEW</t>
        </is>
      </c>
    </row>
    <row r="14">
      <c r="A14" s="14" t="inlineStr">
        <is>
          <t>Primary</t>
        </is>
      </c>
      <c r="B14" s="14" t="inlineStr">
        <is>
          <t>Programs</t>
        </is>
      </c>
      <c r="C14" s="14" t="inlineStr"/>
      <c r="D14" s="14" t="inlineStr"/>
      <c r="E14" s="14" t="inlineStr"/>
      <c r="F14" s="14" t="n">
        <v>1</v>
      </c>
      <c r="G14" s="14" t="inlineStr"/>
      <c r="H14" s="14" t="inlineStr">
        <is>
          <t>New post type (in place of solutions) for easier search/filter</t>
        </is>
      </c>
      <c r="I14" s="15" t="inlineStr">
        <is>
          <t>DRAFT — HUMAN REVIEW</t>
        </is>
      </c>
    </row>
    <row r="15">
      <c r="A15" s="14" t="inlineStr">
        <is>
          <t>Primary</t>
        </is>
      </c>
      <c r="B15" s="14" t="inlineStr"/>
      <c r="C15" s="14" t="inlineStr">
        <is>
          <t>Sales &amp; Leadership Curriculums</t>
        </is>
      </c>
      <c r="D15" s="14" t="inlineStr"/>
      <c r="E15" s="14" t="inlineStr">
        <is>
          <t>/curriculum/</t>
        </is>
      </c>
      <c r="F15" s="14" t="inlineStr"/>
      <c r="G15" s="14" t="n">
        <v>3</v>
      </c>
      <c r="H15" s="14" t="inlineStr">
        <is>
          <t>Curriculum filter page</t>
        </is>
      </c>
      <c r="I15" s="15" t="inlineStr">
        <is>
          <t>DRAFT — HUMAN REVIEW</t>
        </is>
      </c>
    </row>
    <row r="16">
      <c r="A16" s="14" t="inlineStr">
        <is>
          <t>Primary</t>
        </is>
      </c>
      <c r="B16" s="14" t="inlineStr"/>
      <c r="C16" s="14" t="inlineStr"/>
      <c r="D16" s="14" t="inlineStr">
        <is>
          <t>Sales Curriculum Post</t>
        </is>
      </c>
      <c r="E16" s="14" t="inlineStr"/>
      <c r="F16" s="14" t="n">
        <v>1</v>
      </c>
      <c r="G16" s="14" t="n">
        <v>18</v>
      </c>
      <c r="H16" s="14" t="inlineStr">
        <is>
          <t>number based off curriculum diagram</t>
        </is>
      </c>
      <c r="I16" s="15" t="inlineStr">
        <is>
          <t>DRAFT — HUMAN REVIEW</t>
        </is>
      </c>
    </row>
    <row r="17">
      <c r="A17" s="14" t="inlineStr">
        <is>
          <t>Primary</t>
        </is>
      </c>
      <c r="B17" s="14" t="inlineStr"/>
      <c r="C17" s="14" t="inlineStr"/>
      <c r="D17" s="14" t="inlineStr">
        <is>
          <t>Leadership Curriculum Post</t>
        </is>
      </c>
      <c r="E17" s="14" t="inlineStr"/>
      <c r="F17" s="14" t="inlineStr"/>
      <c r="G17" s="14" t="n">
        <v>18</v>
      </c>
      <c r="H17" s="14" t="inlineStr"/>
      <c r="I17" s="15" t="inlineStr">
        <is>
          <t>DRAFT — HUMAN REVIEW</t>
        </is>
      </c>
    </row>
    <row r="18">
      <c r="A18" s="14" t="inlineStr">
        <is>
          <t>Primary</t>
        </is>
      </c>
      <c r="B18" s="14" t="inlineStr"/>
      <c r="C18" s="14" t="inlineStr"/>
      <c r="D18" s="14" t="inlineStr">
        <is>
          <t>Business Acumen Post</t>
        </is>
      </c>
      <c r="E18" s="14" t="inlineStr"/>
      <c r="F18" s="14" t="inlineStr"/>
      <c r="G18" s="14" t="n">
        <v>4</v>
      </c>
      <c r="H18" s="14" t="inlineStr"/>
      <c r="I18" s="15" t="inlineStr">
        <is>
          <t>DRAFT — HUMAN REVIEW</t>
        </is>
      </c>
    </row>
    <row r="19">
      <c r="A19" s="14" t="inlineStr">
        <is>
          <t>Primary</t>
        </is>
      </c>
      <c r="B19" s="14" t="inlineStr"/>
      <c r="C19" s="14" t="inlineStr">
        <is>
          <t>Public Seminars</t>
        </is>
      </c>
      <c r="D19" s="14" t="inlineStr"/>
      <c r="E19" s="14" t="inlineStr"/>
      <c r="F19" s="14" t="inlineStr"/>
      <c r="G19" s="14" t="n">
        <v>2</v>
      </c>
      <c r="H19" s="14" t="inlineStr"/>
      <c r="I19" s="15" t="inlineStr">
        <is>
          <t>DRAFT — HUMAN REVIEW</t>
        </is>
      </c>
    </row>
    <row r="20">
      <c r="A20" s="14" t="inlineStr">
        <is>
          <t>Primary</t>
        </is>
      </c>
      <c r="B20" s="14" t="inlineStr"/>
      <c r="C20" s="14" t="inlineStr"/>
      <c r="D20" s="14" t="inlineStr">
        <is>
          <t>Counselor Salesperson</t>
        </is>
      </c>
      <c r="E20" s="14" t="inlineStr">
        <is>
          <t>/public-seminars/counselor-salesperson/</t>
        </is>
      </c>
      <c r="F20" s="14" t="n">
        <v>1</v>
      </c>
      <c r="G20" s="14" t="inlineStr"/>
      <c r="H20" s="14" t="inlineStr"/>
      <c r="I20" s="15" t="inlineStr">
        <is>
          <t>DRAFT — HUMAN REVIEW</t>
        </is>
      </c>
    </row>
    <row r="21">
      <c r="A21" s="14" t="inlineStr">
        <is>
          <t>Primary</t>
        </is>
      </c>
      <c r="B21" s="14" t="inlineStr"/>
      <c r="C21" s="14" t="inlineStr"/>
      <c r="D21" s="14" t="inlineStr">
        <is>
          <t>Negotiationg To Yes</t>
        </is>
      </c>
      <c r="E21" s="14" t="inlineStr">
        <is>
          <t>/public-seminars/negotiating-to-yes/</t>
        </is>
      </c>
      <c r="F21" s="14" t="inlineStr"/>
      <c r="G21" s="14" t="inlineStr"/>
      <c r="H21" s="14" t="inlineStr"/>
      <c r="I21" s="15" t="inlineStr">
        <is>
          <t>DRAFT — HUMAN REVIEW</t>
        </is>
      </c>
    </row>
    <row r="22">
      <c r="A22" s="14" t="inlineStr">
        <is>
          <t>Primary</t>
        </is>
      </c>
      <c r="B22" s="14" t="inlineStr"/>
      <c r="C22" s="14" t="inlineStr"/>
      <c r="D22" s="14" t="inlineStr">
        <is>
          <t>Building Relationship Versatility</t>
        </is>
      </c>
      <c r="E22" s="14" t="inlineStr">
        <is>
          <t>/public-seminars/building-relationship-versatility/</t>
        </is>
      </c>
      <c r="F22" s="14" t="inlineStr"/>
      <c r="G22" s="14" t="inlineStr"/>
      <c r="H22" s="14" t="inlineStr"/>
      <c r="I22" s="15" t="inlineStr">
        <is>
          <t>DRAFT — HUMAN REVIEW</t>
        </is>
      </c>
    </row>
    <row r="23">
      <c r="A23" s="14" t="inlineStr">
        <is>
          <t>Primary</t>
        </is>
      </c>
      <c r="B23" s="14" t="inlineStr"/>
      <c r="C23" s="14" t="inlineStr">
        <is>
          <t>Team Building</t>
        </is>
      </c>
      <c r="D23" s="14" t="inlineStr"/>
      <c r="E23" s="14" t="inlineStr"/>
      <c r="F23" s="14" t="inlineStr"/>
      <c r="G23" s="14" t="n">
        <v>1</v>
      </c>
      <c r="H23" s="14" t="inlineStr"/>
      <c r="I23" s="15" t="inlineStr">
        <is>
          <t>DRAFT — HUMAN REVIEW</t>
        </is>
      </c>
    </row>
    <row r="24">
      <c r="A24" s="14" t="inlineStr">
        <is>
          <t>Primary</t>
        </is>
      </c>
      <c r="B24" s="14" t="inlineStr"/>
      <c r="C24" s="14" t="inlineStr">
        <is>
          <t>Executive Coaching</t>
        </is>
      </c>
      <c r="D24" s="14" t="inlineStr"/>
      <c r="E24" s="14" t="inlineStr"/>
      <c r="F24" s="14" t="inlineStr"/>
      <c r="G24" s="14" t="n">
        <v>1</v>
      </c>
      <c r="H24" s="14" t="inlineStr"/>
      <c r="I24" s="15" t="inlineStr">
        <is>
          <t>DRAFT — HUMAN REVIEW</t>
        </is>
      </c>
    </row>
    <row r="25">
      <c r="A25" s="14" t="inlineStr">
        <is>
          <t>Primary</t>
        </is>
      </c>
      <c r="B25" s="14" t="inlineStr">
        <is>
          <t>Resources</t>
        </is>
      </c>
      <c r="C25" s="14" t="inlineStr"/>
      <c r="D25" s="14" t="inlineStr"/>
      <c r="E25" s="14" t="inlineStr">
        <is>
          <t>/resources/</t>
        </is>
      </c>
      <c r="F25" s="14" t="n">
        <v>1</v>
      </c>
      <c r="G25" s="14" t="inlineStr"/>
      <c r="H25" s="14" t="inlineStr">
        <is>
          <t>Resource filter page</t>
        </is>
      </c>
      <c r="I25" s="15" t="inlineStr">
        <is>
          <t>DRAFT — HUMAN REVIEW</t>
        </is>
      </c>
    </row>
    <row r="26">
      <c r="A26" s="14" t="inlineStr">
        <is>
          <t>Primary</t>
        </is>
      </c>
      <c r="B26" s="14" t="inlineStr"/>
      <c r="C26" s="14" t="inlineStr">
        <is>
          <t>Assessments</t>
        </is>
      </c>
      <c r="D26" s="14" t="inlineStr"/>
      <c r="E26" s="14" t="inlineStr">
        <is>
          <t>/resources/assessments/</t>
        </is>
      </c>
      <c r="F26" s="14" t="inlineStr"/>
      <c r="G26" s="14" t="n">
        <v>1</v>
      </c>
      <c r="H26" s="14" t="inlineStr">
        <is>
          <t>(Lead magnet)</t>
        </is>
      </c>
      <c r="I26" s="15" t="inlineStr">
        <is>
          <t>DRAFT — HUMAN REVIEW</t>
        </is>
      </c>
    </row>
    <row r="27">
      <c r="A27" s="14" t="inlineStr">
        <is>
          <t>Primary</t>
        </is>
      </c>
      <c r="B27" s="14" t="inlineStr"/>
      <c r="C27" s="14" t="inlineStr">
        <is>
          <t>Blog</t>
        </is>
      </c>
      <c r="D27" s="14" t="inlineStr"/>
      <c r="E27" s="14" t="inlineStr">
        <is>
          <t>/resources/blog/</t>
        </is>
      </c>
      <c r="F27" s="14" t="inlineStr"/>
      <c r="G27" s="14" t="n">
        <v>1</v>
      </c>
      <c r="H27" s="14" t="inlineStr"/>
      <c r="I27" s="15" t="inlineStr">
        <is>
          <t>DRAFT — HUMAN REVIEW</t>
        </is>
      </c>
    </row>
    <row r="28">
      <c r="A28" s="14" t="inlineStr">
        <is>
          <t>Primary</t>
        </is>
      </c>
      <c r="B28" s="14" t="inlineStr"/>
      <c r="C28" s="14" t="inlineStr">
        <is>
          <t>Articles</t>
        </is>
      </c>
      <c r="D28" s="14" t="inlineStr"/>
      <c r="E28" s="14" t="inlineStr">
        <is>
          <t>/resources/articles/</t>
        </is>
      </c>
      <c r="F28" s="14" t="inlineStr"/>
      <c r="G28" s="14" t="n">
        <v>1</v>
      </c>
      <c r="H28" s="14" t="inlineStr"/>
      <c r="I28" s="15" t="inlineStr">
        <is>
          <t>DRAFT — HUMAN REVIEW</t>
        </is>
      </c>
    </row>
    <row r="29">
      <c r="A29" s="14" t="inlineStr">
        <is>
          <t>Primary</t>
        </is>
      </c>
      <c r="B29" s="14" t="inlineStr"/>
      <c r="C29" s="14" t="inlineStr">
        <is>
          <t>Podcasts</t>
        </is>
      </c>
      <c r="D29" s="14" t="inlineStr"/>
      <c r="E29" s="14" t="inlineStr">
        <is>
          <t>/resources/podcasts/</t>
        </is>
      </c>
      <c r="F29" s="14" t="inlineStr"/>
      <c r="G29" s="14" t="n">
        <v>1</v>
      </c>
      <c r="H29" s="14" t="inlineStr"/>
      <c r="I29" s="15" t="inlineStr">
        <is>
          <t>DRAFT — HUMAN REVIEW</t>
        </is>
      </c>
    </row>
    <row r="30">
      <c r="A30" s="14" t="inlineStr">
        <is>
          <t>Primary</t>
        </is>
      </c>
      <c r="B30" s="14" t="inlineStr"/>
      <c r="C30" s="14" t="inlineStr">
        <is>
          <t>Case Studies</t>
        </is>
      </c>
      <c r="D30" s="14" t="inlineStr"/>
      <c r="E30" s="14" t="inlineStr">
        <is>
          <t>/resources/case-studies/</t>
        </is>
      </c>
      <c r="F30" s="14" t="n">
        <v>1</v>
      </c>
      <c r="G30" s="14" t="n">
        <v>1</v>
      </c>
      <c r="H30" s="14" t="inlineStr"/>
      <c r="I30" s="15" t="inlineStr">
        <is>
          <t>DRAFT — HUMAN REVIEW</t>
        </is>
      </c>
    </row>
    <row r="31">
      <c r="A31" s="14" t="inlineStr">
        <is>
          <t>Primary</t>
        </is>
      </c>
      <c r="B31" s="14" t="inlineStr"/>
      <c r="C31" s="14" t="inlineStr">
        <is>
          <t>Client Testimonials</t>
        </is>
      </c>
      <c r="D31" s="14" t="inlineStr"/>
      <c r="E31" s="14" t="inlineStr">
        <is>
          <t>/resources/testimonials/</t>
        </is>
      </c>
      <c r="F31" s="14" t="inlineStr"/>
      <c r="G31" s="14" t="n">
        <v>1</v>
      </c>
      <c r="H31" s="14" t="inlineStr"/>
      <c r="I31" s="15" t="inlineStr">
        <is>
          <t>DRAFT — HUMAN REVIEW</t>
        </is>
      </c>
    </row>
    <row r="32">
      <c r="A32" s="14" t="inlineStr">
        <is>
          <t>Primary</t>
        </is>
      </c>
      <c r="B32" s="14" t="inlineStr">
        <is>
          <t>Request Consultation [Primary CTA]</t>
        </is>
      </c>
      <c r="C32" s="14" t="inlineStr"/>
      <c r="D32" s="14" t="inlineStr"/>
      <c r="E32" s="14" t="inlineStr">
        <is>
          <t>/request-consultation/</t>
        </is>
      </c>
      <c r="F32" s="14" t="n">
        <v>1</v>
      </c>
      <c r="G32" s="14" t="inlineStr"/>
      <c r="H32" s="14" t="inlineStr"/>
      <c r="I32" s="15" t="inlineStr">
        <is>
          <t>DRAFT — HUMAN REVIEW</t>
        </is>
      </c>
    </row>
    <row r="33">
      <c r="A33" s="14" t="inlineStr">
        <is>
          <t>Primary</t>
        </is>
      </c>
      <c r="B33" s="14" t="inlineStr">
        <is>
          <t>Cart icon</t>
        </is>
      </c>
      <c r="C33" s="14" t="inlineStr"/>
      <c r="D33" s="14" t="inlineStr"/>
      <c r="E33" s="14" t="inlineStr">
        <is>
          <t>/cart/</t>
        </is>
      </c>
      <c r="F33" s="14" t="inlineStr"/>
      <c r="G33" s="14" t="inlineStr"/>
      <c r="H33" s="14" t="inlineStr"/>
      <c r="I33" s="15" t="inlineStr">
        <is>
          <t>DRAFT — HUMAN REVIEW</t>
        </is>
      </c>
    </row>
    <row r="34">
      <c r="A34" s="14" t="inlineStr">
        <is>
          <t>Footer</t>
        </is>
      </c>
      <c r="B34" s="14" t="inlineStr">
        <is>
          <t>Home</t>
        </is>
      </c>
      <c r="C34" s="14" t="inlineStr"/>
      <c r="D34" s="14" t="inlineStr"/>
      <c r="E34" s="14" t="inlineStr">
        <is>
          <t>/</t>
        </is>
      </c>
      <c r="F34" s="14" t="inlineStr"/>
      <c r="G34" s="14" t="inlineStr"/>
      <c r="H34" s="14" t="inlineStr"/>
      <c r="I34" s="15" t="inlineStr">
        <is>
          <t>DRAFT — HUMAN REVIEW</t>
        </is>
      </c>
    </row>
    <row r="35">
      <c r="A35" s="14" t="inlineStr">
        <is>
          <t>Footer</t>
        </is>
      </c>
      <c r="B35" s="14" t="inlineStr">
        <is>
          <t>About</t>
        </is>
      </c>
      <c r="C35" s="14" t="inlineStr"/>
      <c r="D35" s="14" t="inlineStr"/>
      <c r="E35" s="14" t="inlineStr">
        <is>
          <t>/about-us/</t>
        </is>
      </c>
      <c r="F35" s="14" t="n">
        <v>1</v>
      </c>
      <c r="G35" s="14" t="inlineStr"/>
      <c r="H35" s="14" t="inlineStr"/>
      <c r="I35" s="15" t="inlineStr">
        <is>
          <t>DRAFT — HUMAN REVIEW</t>
        </is>
      </c>
    </row>
    <row r="36">
      <c r="A36" s="14" t="inlineStr">
        <is>
          <t>Footer</t>
        </is>
      </c>
      <c r="B36" s="14" t="inlineStr"/>
      <c r="C36" s="14" t="inlineStr">
        <is>
          <t>Approach</t>
        </is>
      </c>
      <c r="D36" s="14" t="inlineStr"/>
      <c r="E36" s="14" t="inlineStr">
        <is>
          <t>/about-us/approach/</t>
        </is>
      </c>
      <c r="F36" s="14" t="n">
        <v>1</v>
      </c>
      <c r="G36" s="14" t="n">
        <v>1</v>
      </c>
      <c r="H36" s="14" t="inlineStr"/>
      <c r="I36" s="15" t="inlineStr">
        <is>
          <t>DRAFT — HUMAN REVIEW</t>
        </is>
      </c>
    </row>
    <row r="37">
      <c r="A37" s="14" t="inlineStr">
        <is>
          <t>Footer</t>
        </is>
      </c>
      <c r="B37" s="14" t="inlineStr"/>
      <c r="C37" s="14" t="inlineStr">
        <is>
          <t>Team</t>
        </is>
      </c>
      <c r="D37" s="14" t="inlineStr"/>
      <c r="E37" s="14" t="inlineStr">
        <is>
          <t>/about-us/team/</t>
        </is>
      </c>
      <c r="F37" s="14" t="inlineStr"/>
      <c r="G37" s="14" t="n">
        <v>1</v>
      </c>
      <c r="H37" s="14" t="inlineStr"/>
      <c r="I37" s="15" t="inlineStr">
        <is>
          <t>DRAFT — HUMAN REVIEW</t>
        </is>
      </c>
    </row>
    <row r="38">
      <c r="A38" s="14" t="inlineStr">
        <is>
          <t>Footer</t>
        </is>
      </c>
      <c r="B38" s="14" t="inlineStr"/>
      <c r="C38" s="14" t="inlineStr">
        <is>
          <t>Join our team</t>
        </is>
      </c>
      <c r="D38" s="14" t="inlineStr"/>
      <c r="E38" s="14" t="inlineStr">
        <is>
          <t>/about-us/join-our-team/</t>
        </is>
      </c>
      <c r="F38" s="14" t="inlineStr"/>
      <c r="G38" s="14" t="n">
        <v>1</v>
      </c>
      <c r="H38" s="14" t="inlineStr"/>
      <c r="I38" s="15" t="inlineStr">
        <is>
          <t>DRAFT — HUMAN REVIEW</t>
        </is>
      </c>
    </row>
    <row r="39">
      <c r="A39" s="14" t="inlineStr">
        <is>
          <t>Footer</t>
        </is>
      </c>
      <c r="B39" s="14" t="inlineStr">
        <is>
          <t>Contact</t>
        </is>
      </c>
      <c r="C39" s="14" t="inlineStr"/>
      <c r="D39" s="14" t="inlineStr"/>
      <c r="E39" s="14" t="inlineStr">
        <is>
          <t>/contact/</t>
        </is>
      </c>
      <c r="F39" s="14" t="inlineStr"/>
      <c r="G39" s="14" t="n">
        <v>1</v>
      </c>
      <c r="H39" s="14" t="inlineStr"/>
      <c r="I39" s="15" t="inlineStr">
        <is>
          <t>DRAFT — HUMAN REVIEW</t>
        </is>
      </c>
    </row>
  </sheetData>
  <autoFilter ref="A4:I39"/>
  <mergeCells count="2">
    <mergeCell ref="A1:I1"/>
    <mergeCell ref="A2:I2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7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38" customWidth="1" min="4" max="4"/>
    <col width="12" customWidth="1" min="5" max="5"/>
    <col width="48" customWidth="1" min="6" max="6"/>
    <col width="22" customWidth="1" min="7" max="7"/>
    <col width="28" customWidth="1" min="8" max="8"/>
  </cols>
  <sheetData>
    <row r="1" ht="30" customHeight="1">
      <c r="A1" s="1" t="inlineStr">
        <is>
          <t>Redirects</t>
        </is>
      </c>
    </row>
    <row r="2" ht="34" customHeight="1">
      <c r="A2" s="2" t="inlineStr">
        <is>
          <t>Migration map generated from existing vs. proposed URLs. Retired pages without an approved target remain unresolved.</t>
        </is>
      </c>
    </row>
    <row r="4" ht="34" customHeight="1">
      <c r="A4" s="7" t="inlineStr">
        <is>
          <t>#</t>
        </is>
      </c>
      <c r="B4" s="7" t="inlineStr">
        <is>
          <t>Page ID</t>
        </is>
      </c>
      <c r="C4" s="7" t="inlineStr">
        <is>
          <t>Existing URL</t>
        </is>
      </c>
      <c r="D4" s="7" t="inlineStr">
        <is>
          <t>301 Target</t>
        </is>
      </c>
      <c r="E4" s="7" t="inlineStr">
        <is>
          <t>Type</t>
        </is>
      </c>
      <c r="F4" s="7" t="inlineStr">
        <is>
          <t>Reason</t>
        </is>
      </c>
      <c r="G4" s="7" t="inlineStr">
        <is>
          <t>Status</t>
        </is>
      </c>
      <c r="H4" s="7" t="inlineStr">
        <is>
          <t>Owner</t>
        </is>
      </c>
    </row>
    <row r="5">
      <c r="A5" s="16" t="n">
        <v>1</v>
      </c>
      <c r="B5" s="16" t="inlineStr">
        <is>
          <t>NUV-P004</t>
        </is>
      </c>
      <c r="C5" s="14" t="inlineStr">
        <is>
          <t>/solutions/</t>
        </is>
      </c>
      <c r="D5" s="17" t="inlineStr">
        <is>
          <t>/curriculum/</t>
        </is>
      </c>
      <c r="E5" s="17" t="inlineStr">
        <is>
          <t>301</t>
        </is>
      </c>
      <c r="F5" s="14" t="inlineStr">
        <is>
          <t>RESTRUCTURED: URL changes in proposed architecture.</t>
        </is>
      </c>
      <c r="G5" s="16" t="inlineStr">
        <is>
          <t>DRAFT — HUMAN REVIEW</t>
        </is>
      </c>
      <c r="H5" s="16" t="inlineStr">
        <is>
          <t>SimpliCreative → NuVue approves</t>
        </is>
      </c>
    </row>
    <row r="6">
      <c r="A6" s="16" t="n">
        <v>2</v>
      </c>
      <c r="B6" s="16" t="inlineStr">
        <is>
          <t>NUV-P005</t>
        </is>
      </c>
      <c r="C6" s="14" t="inlineStr">
        <is>
          <t>/solutions/sales-enablement/</t>
        </is>
      </c>
      <c r="D6" s="17" t="inlineStr">
        <is>
          <t>/curriculum/sales/</t>
        </is>
      </c>
      <c r="E6" s="17" t="inlineStr">
        <is>
          <t>301</t>
        </is>
      </c>
      <c r="F6" s="14" t="inlineStr">
        <is>
          <t>RESTRUCTURED: URL changes in proposed architecture.</t>
        </is>
      </c>
      <c r="G6" s="16" t="inlineStr">
        <is>
          <t>DRAFT — HUMAN REVIEW</t>
        </is>
      </c>
      <c r="H6" s="16" t="inlineStr">
        <is>
          <t>SimpliCreative → NuVue approves</t>
        </is>
      </c>
    </row>
    <row r="7">
      <c r="A7" s="16" t="n">
        <v>3</v>
      </c>
      <c r="B7" s="16" t="inlineStr">
        <is>
          <t>NUV-P006</t>
        </is>
      </c>
      <c r="C7" s="14" t="inlineStr">
        <is>
          <t>/solutions/sales-enablement/counselor-salesperson/</t>
        </is>
      </c>
      <c r="D7" s="17" t="inlineStr">
        <is>
          <t>/curriculum/sales/counselor-salesperson/</t>
        </is>
      </c>
      <c r="E7" s="17" t="inlineStr">
        <is>
          <t>301</t>
        </is>
      </c>
      <c r="F7" s="14" t="inlineStr">
        <is>
          <t>ENHANCED: URL changes in proposed architecture.</t>
        </is>
      </c>
      <c r="G7" s="16" t="inlineStr">
        <is>
          <t>DRAFT — HUMAN REVIEW</t>
        </is>
      </c>
      <c r="H7" s="16" t="inlineStr">
        <is>
          <t>SimpliCreative → NuVue approves</t>
        </is>
      </c>
    </row>
    <row r="8">
      <c r="A8" s="16" t="n">
        <v>4</v>
      </c>
      <c r="B8" s="16" t="inlineStr">
        <is>
          <t>NUV-P007</t>
        </is>
      </c>
      <c r="C8" s="14" t="inlineStr">
        <is>
          <t>/solutions/sales-enablement/counselor-prospecting/</t>
        </is>
      </c>
      <c r="D8" s="17" t="inlineStr">
        <is>
          <t>/curriculum/sales/counselor-prospecting/</t>
        </is>
      </c>
      <c r="E8" s="17" t="inlineStr">
        <is>
          <t>301</t>
        </is>
      </c>
      <c r="F8" s="14" t="inlineStr">
        <is>
          <t>EXISTS: URL changes in proposed architecture.</t>
        </is>
      </c>
      <c r="G8" s="16" t="inlineStr">
        <is>
          <t>DRAFT — HUMAN REVIEW</t>
        </is>
      </c>
      <c r="H8" s="16" t="inlineStr">
        <is>
          <t>SimpliCreative → NuVue approves</t>
        </is>
      </c>
    </row>
    <row r="9">
      <c r="A9" s="16" t="n">
        <v>5</v>
      </c>
      <c r="B9" s="16" t="inlineStr">
        <is>
          <t>NUV-P008</t>
        </is>
      </c>
      <c r="C9" s="14" t="inlineStr">
        <is>
          <t>/solutions/sales-enablement/selling-in-a-virtual-environment/</t>
        </is>
      </c>
      <c r="D9" s="17" t="inlineStr">
        <is>
          <t>/curriculum/sales/selling-in-a-virtual-environment/</t>
        </is>
      </c>
      <c r="E9" s="17" t="inlineStr">
        <is>
          <t>301</t>
        </is>
      </c>
      <c r="F9" s="14" t="inlineStr">
        <is>
          <t>EXISTS: URL changes in proposed architecture.</t>
        </is>
      </c>
      <c r="G9" s="16" t="inlineStr">
        <is>
          <t>DRAFT — HUMAN REVIEW</t>
        </is>
      </c>
      <c r="H9" s="16" t="inlineStr">
        <is>
          <t>SimpliCreative → NuVue approves</t>
        </is>
      </c>
    </row>
    <row r="10">
      <c r="A10" s="16" t="n">
        <v>6</v>
      </c>
      <c r="B10" s="16" t="inlineStr">
        <is>
          <t>NUV-P009</t>
        </is>
      </c>
      <c r="C10" s="14" t="inlineStr">
        <is>
          <t>/solutions/sales-enablement/mastering-successful-presentations-skills-for-influencing-outcomes/</t>
        </is>
      </c>
      <c r="D10" s="17" t="inlineStr">
        <is>
          <t>/curriculum/sales/presentations/</t>
        </is>
      </c>
      <c r="E10" s="17" t="inlineStr">
        <is>
          <t>301</t>
        </is>
      </c>
      <c r="F10" s="14" t="inlineStr">
        <is>
          <t>EXISTS: URL changes in proposed architecture.</t>
        </is>
      </c>
      <c r="G10" s="16" t="inlineStr">
        <is>
          <t>DRAFT — HUMAN REVIEW</t>
        </is>
      </c>
      <c r="H10" s="16" t="inlineStr">
        <is>
          <t>SimpliCreative → NuVue approves</t>
        </is>
      </c>
    </row>
    <row r="11">
      <c r="A11" s="16" t="n">
        <v>7</v>
      </c>
      <c r="B11" s="16" t="inlineStr">
        <is>
          <t>NUV-P010</t>
        </is>
      </c>
      <c r="C11" s="14" t="inlineStr">
        <is>
          <t>/solutions/sales-enablement/versatile-salesperson/</t>
        </is>
      </c>
      <c r="D11" s="17" t="inlineStr">
        <is>
          <t>/curriculum/sales/versatile-salesperson/</t>
        </is>
      </c>
      <c r="E11" s="17" t="inlineStr">
        <is>
          <t>301</t>
        </is>
      </c>
      <c r="F11" s="14" t="inlineStr">
        <is>
          <t>EXISTS: URL changes in proposed architecture.</t>
        </is>
      </c>
      <c r="G11" s="16" t="inlineStr">
        <is>
          <t>DRAFT — HUMAN REVIEW</t>
        </is>
      </c>
      <c r="H11" s="16" t="inlineStr">
        <is>
          <t>SimpliCreative → NuVue approves</t>
        </is>
      </c>
    </row>
    <row r="12">
      <c r="A12" s="16" t="n">
        <v>8</v>
      </c>
      <c r="B12" s="16" t="inlineStr">
        <is>
          <t>NUV-P011</t>
        </is>
      </c>
      <c r="C12" s="14" t="inlineStr">
        <is>
          <t>/solutions/sales-enablement/selling-to-the-generations/</t>
        </is>
      </c>
      <c r="D12" s="17" t="inlineStr">
        <is>
          <t>/curriculum/sales/selling-to-the-generations/</t>
        </is>
      </c>
      <c r="E12" s="17" t="inlineStr">
        <is>
          <t>301</t>
        </is>
      </c>
      <c r="F12" s="14" t="inlineStr">
        <is>
          <t>EXISTS: URL changes in proposed architecture.</t>
        </is>
      </c>
      <c r="G12" s="16" t="inlineStr">
        <is>
          <t>DRAFT — HUMAN REVIEW</t>
        </is>
      </c>
      <c r="H12" s="16" t="inlineStr">
        <is>
          <t>SimpliCreative → NuVue approves</t>
        </is>
      </c>
    </row>
    <row r="13">
      <c r="A13" s="16" t="n">
        <v>9</v>
      </c>
      <c r="B13" s="16" t="inlineStr">
        <is>
          <t>NUV-P012</t>
        </is>
      </c>
      <c r="C13" s="14" t="inlineStr">
        <is>
          <t>/solutions/sales-enablement/turning-information-into-sales/</t>
        </is>
      </c>
      <c r="D13" s="17" t="inlineStr">
        <is>
          <t>/curriculum/sales/turning-information-into-sales/</t>
        </is>
      </c>
      <c r="E13" s="17" t="inlineStr">
        <is>
          <t>301</t>
        </is>
      </c>
      <c r="F13" s="14" t="inlineStr">
        <is>
          <t>EXISTS: URL changes in proposed architecture.</t>
        </is>
      </c>
      <c r="G13" s="16" t="inlineStr">
        <is>
          <t>DRAFT — HUMAN REVIEW</t>
        </is>
      </c>
      <c r="H13" s="16" t="inlineStr">
        <is>
          <t>SimpliCreative → NuVue approves</t>
        </is>
      </c>
    </row>
    <row r="14">
      <c r="A14" s="16" t="n">
        <v>10</v>
      </c>
      <c r="B14" s="16" t="inlineStr">
        <is>
          <t>NUV-P013</t>
        </is>
      </c>
      <c r="C14" s="14" t="inlineStr">
        <is>
          <t>/solutions/sales-enablement/negotiating-to-yes-sales-edition/</t>
        </is>
      </c>
      <c r="D14" s="17" t="inlineStr">
        <is>
          <t>/curriculum/sales/negotiating-to-yes/</t>
        </is>
      </c>
      <c r="E14" s="17" t="inlineStr">
        <is>
          <t>301</t>
        </is>
      </c>
      <c r="F14" s="14" t="inlineStr">
        <is>
          <t>EXISTS: URL changes in proposed architecture.</t>
        </is>
      </c>
      <c r="G14" s="16" t="inlineStr">
        <is>
          <t>DRAFT — HUMAN REVIEW</t>
        </is>
      </c>
      <c r="H14" s="16" t="inlineStr">
        <is>
          <t>SimpliCreative → NuVue approves</t>
        </is>
      </c>
    </row>
    <row r="15">
      <c r="A15" s="16" t="n">
        <v>11</v>
      </c>
      <c r="B15" s="16" t="inlineStr">
        <is>
          <t>NUV-P014</t>
        </is>
      </c>
      <c r="C15" s="14" t="inlineStr">
        <is>
          <t>/solutions/sales-enablement/time-management-for-salespeople/</t>
        </is>
      </c>
      <c r="D15" s="17" t="inlineStr">
        <is>
          <t>/curriculum/sales/time-management/</t>
        </is>
      </c>
      <c r="E15" s="17" t="inlineStr">
        <is>
          <t>301</t>
        </is>
      </c>
      <c r="F15" s="14" t="inlineStr">
        <is>
          <t>EXISTS: URL changes in proposed architecture.</t>
        </is>
      </c>
      <c r="G15" s="16" t="inlineStr">
        <is>
          <t>DRAFT — HUMAN REVIEW</t>
        </is>
      </c>
      <c r="H15" s="16" t="inlineStr">
        <is>
          <t>SimpliCreative → NuVue approves</t>
        </is>
      </c>
    </row>
    <row r="16">
      <c r="A16" s="16" t="n">
        <v>12</v>
      </c>
      <c r="B16" s="16" t="inlineStr">
        <is>
          <t>NUV-P015</t>
        </is>
      </c>
      <c r="C16" s="14" t="inlineStr">
        <is>
          <t>/solutions/sales-enablement/coaching-the-counselor-salesperson/</t>
        </is>
      </c>
      <c r="D16" s="17" t="inlineStr">
        <is>
          <t>/curriculum/sales/coaching-the-counselor-salesperson/</t>
        </is>
      </c>
      <c r="E16" s="17" t="inlineStr">
        <is>
          <t>301</t>
        </is>
      </c>
      <c r="F16" s="14" t="inlineStr">
        <is>
          <t>EXISTS: URL changes in proposed architecture.</t>
        </is>
      </c>
      <c r="G16" s="16" t="inlineStr">
        <is>
          <t>DRAFT — HUMAN REVIEW</t>
        </is>
      </c>
      <c r="H16" s="16" t="inlineStr">
        <is>
          <t>SimpliCreative → NuVue approves</t>
        </is>
      </c>
    </row>
    <row r="17">
      <c r="A17" s="16" t="n">
        <v>13</v>
      </c>
      <c r="B17" s="16" t="inlineStr">
        <is>
          <t>NUV-P016</t>
        </is>
      </c>
      <c r="C17" s="14" t="inlineStr">
        <is>
          <t>/solutions/sales-enablement/sales-advantage-series/</t>
        </is>
      </c>
      <c r="D17" s="17" t="inlineStr">
        <is>
          <t>/curriculum/sales/sales-advantage-series/</t>
        </is>
      </c>
      <c r="E17" s="17" t="inlineStr">
        <is>
          <t>301</t>
        </is>
      </c>
      <c r="F17" s="14" t="inlineStr">
        <is>
          <t>EXISTS: URL changes in proposed architecture.</t>
        </is>
      </c>
      <c r="G17" s="16" t="inlineStr">
        <is>
          <t>DRAFT — HUMAN REVIEW</t>
        </is>
      </c>
      <c r="H17" s="16" t="inlineStr">
        <is>
          <t>SimpliCreative → NuVue approves</t>
        </is>
      </c>
    </row>
    <row r="18">
      <c r="A18" s="16" t="n">
        <v>14</v>
      </c>
      <c r="B18" s="16" t="inlineStr">
        <is>
          <t>NUV-P017</t>
        </is>
      </c>
      <c r="C18" s="14" t="inlineStr">
        <is>
          <t>/solutions/sales-enablement/trade-show-selling/</t>
        </is>
      </c>
      <c r="D18" s="17" t="inlineStr">
        <is>
          <t>/curriculum/sales/trade-show-selling/</t>
        </is>
      </c>
      <c r="E18" s="17" t="inlineStr">
        <is>
          <t>301</t>
        </is>
      </c>
      <c r="F18" s="14" t="inlineStr">
        <is>
          <t>EXISTS: URL changes in proposed architecture.</t>
        </is>
      </c>
      <c r="G18" s="16" t="inlineStr">
        <is>
          <t>DRAFT — HUMAN REVIEW</t>
        </is>
      </c>
      <c r="H18" s="16" t="inlineStr">
        <is>
          <t>SimpliCreative → NuVue approves</t>
        </is>
      </c>
    </row>
    <row r="19">
      <c r="A19" s="16" t="n">
        <v>15</v>
      </c>
      <c r="B19" s="16" t="inlineStr">
        <is>
          <t>NUV-P018</t>
        </is>
      </c>
      <c r="C19" s="14" t="inlineStr">
        <is>
          <t>/solutions/sales-enablement/value-added-selling/</t>
        </is>
      </c>
      <c r="D19" s="17" t="inlineStr">
        <is>
          <t>/curriculum/sales/value-added-selling/</t>
        </is>
      </c>
      <c r="E19" s="17" t="inlineStr">
        <is>
          <t>301</t>
        </is>
      </c>
      <c r="F19" s="14" t="inlineStr">
        <is>
          <t>EXISTS: URL changes in proposed architecture.</t>
        </is>
      </c>
      <c r="G19" s="16" t="inlineStr">
        <is>
          <t>DRAFT — HUMAN REVIEW</t>
        </is>
      </c>
      <c r="H19" s="16" t="inlineStr">
        <is>
          <t>SimpliCreative → NuVue approves</t>
        </is>
      </c>
    </row>
    <row r="20">
      <c r="A20" s="16" t="n">
        <v>16</v>
      </c>
      <c r="B20" s="16" t="inlineStr">
        <is>
          <t>NUV-P019</t>
        </is>
      </c>
      <c r="C20" s="14" t="inlineStr">
        <is>
          <t>/solutions/assessments/sales-assessments/</t>
        </is>
      </c>
      <c r="D20" s="17" t="inlineStr">
        <is>
          <t>/curriculum/sales/sales-assessments/</t>
        </is>
      </c>
      <c r="E20" s="17" t="inlineStr">
        <is>
          <t>301</t>
        </is>
      </c>
      <c r="F20" s="14" t="inlineStr">
        <is>
          <t>MOVED: URL changes in proposed architecture.</t>
        </is>
      </c>
      <c r="G20" s="16" t="inlineStr">
        <is>
          <t>DRAFT — HUMAN REVIEW</t>
        </is>
      </c>
      <c r="H20" s="16" t="inlineStr">
        <is>
          <t>SimpliCreative → NuVue approves</t>
        </is>
      </c>
    </row>
    <row r="21">
      <c r="A21" s="16" t="n">
        <v>17</v>
      </c>
      <c r="B21" s="16" t="inlineStr">
        <is>
          <t>NUV-P020</t>
        </is>
      </c>
      <c r="C21" s="14" t="inlineStr">
        <is>
          <t>/solutions/leadership/</t>
        </is>
      </c>
      <c r="D21" s="17" t="inlineStr">
        <is>
          <t>/curriculum/leadership/</t>
        </is>
      </c>
      <c r="E21" s="17" t="inlineStr">
        <is>
          <t>301</t>
        </is>
      </c>
      <c r="F21" s="14" t="inlineStr">
        <is>
          <t>RESTRUCTURED: URL changes in proposed architecture.</t>
        </is>
      </c>
      <c r="G21" s="16" t="inlineStr">
        <is>
          <t>DRAFT — HUMAN REVIEW</t>
        </is>
      </c>
      <c r="H21" s="16" t="inlineStr">
        <is>
          <t>SimpliCreative → NuVue approves</t>
        </is>
      </c>
    </row>
    <row r="22">
      <c r="A22" s="16" t="n">
        <v>18</v>
      </c>
      <c r="B22" s="16" t="inlineStr">
        <is>
          <t>NUV-P021</t>
        </is>
      </c>
      <c r="C22" s="14" t="inlineStr">
        <is>
          <t>/solutions/coaching/executive-coaching/</t>
        </is>
      </c>
      <c r="D22" s="17" t="inlineStr">
        <is>
          <t>/curriculum/leadership/executive-coaching/</t>
        </is>
      </c>
      <c r="E22" s="17" t="inlineStr">
        <is>
          <t>301</t>
        </is>
      </c>
      <c r="F22" s="14" t="inlineStr">
        <is>
          <t>ENHANCED: URL changes in proposed architecture.</t>
        </is>
      </c>
      <c r="G22" s="16" t="inlineStr">
        <is>
          <t>DRAFT — HUMAN REVIEW</t>
        </is>
      </c>
      <c r="H22" s="16" t="inlineStr">
        <is>
          <t>SimpliCreative → NuVue approves</t>
        </is>
      </c>
    </row>
    <row r="23">
      <c r="A23" s="16" t="n">
        <v>19</v>
      </c>
      <c r="B23" s="16" t="inlineStr">
        <is>
          <t>NUV-P022</t>
        </is>
      </c>
      <c r="C23" s="14" t="inlineStr">
        <is>
          <t>/solutions/leadership/building-relationship-versatility/</t>
        </is>
      </c>
      <c r="D23" s="17" t="inlineStr">
        <is>
          <t>/curriculum/leadership/building-relationship-versatility/</t>
        </is>
      </c>
      <c r="E23" s="17" t="inlineStr">
        <is>
          <t>301</t>
        </is>
      </c>
      <c r="F23" s="14" t="inlineStr">
        <is>
          <t>EXISTS: URL changes in proposed architecture.</t>
        </is>
      </c>
      <c r="G23" s="16" t="inlineStr">
        <is>
          <t>DRAFT — HUMAN REVIEW</t>
        </is>
      </c>
      <c r="H23" s="16" t="inlineStr">
        <is>
          <t>SimpliCreative → NuVue approves</t>
        </is>
      </c>
    </row>
    <row r="24">
      <c r="A24" s="16" t="n">
        <v>20</v>
      </c>
      <c r="B24" s="16" t="inlineStr">
        <is>
          <t>NUV-P023</t>
        </is>
      </c>
      <c r="C24" s="14" t="inlineStr">
        <is>
          <t>/solutions/leadership/coaching-for-performance/</t>
        </is>
      </c>
      <c r="D24" s="17" t="inlineStr">
        <is>
          <t>/curriculum/leadership/coaching-for-performance/</t>
        </is>
      </c>
      <c r="E24" s="17" t="inlineStr">
        <is>
          <t>301</t>
        </is>
      </c>
      <c r="F24" s="14" t="inlineStr">
        <is>
          <t>EXISTS: URL changes in proposed architecture.</t>
        </is>
      </c>
      <c r="G24" s="16" t="inlineStr">
        <is>
          <t>DRAFT — HUMAN REVIEW</t>
        </is>
      </c>
      <c r="H24" s="16" t="inlineStr">
        <is>
          <t>SimpliCreative → NuVue approves</t>
        </is>
      </c>
    </row>
    <row r="25">
      <c r="A25" s="16" t="n">
        <v>21</v>
      </c>
      <c r="B25" s="16" t="inlineStr">
        <is>
          <t>NUV-P024</t>
        </is>
      </c>
      <c r="C25" s="14" t="inlineStr">
        <is>
          <t>/solutions/leadership/coaching-for-sales-performance/</t>
        </is>
      </c>
      <c r="D25" s="17" t="inlineStr">
        <is>
          <t>/curriculum/leadership/coaching-for-sales-performance/</t>
        </is>
      </c>
      <c r="E25" s="17" t="inlineStr">
        <is>
          <t>301</t>
        </is>
      </c>
      <c r="F25" s="14" t="inlineStr">
        <is>
          <t>EXISTS: URL changes in proposed architecture.</t>
        </is>
      </c>
      <c r="G25" s="16" t="inlineStr">
        <is>
          <t>DRAFT — HUMAN REVIEW</t>
        </is>
      </c>
      <c r="H25" s="16" t="inlineStr">
        <is>
          <t>SimpliCreative → NuVue approves</t>
        </is>
      </c>
    </row>
    <row r="26">
      <c r="A26" s="16" t="n">
        <v>22</v>
      </c>
      <c r="B26" s="16" t="inlineStr">
        <is>
          <t>NUV-P025</t>
        </is>
      </c>
      <c r="C26" s="14" t="inlineStr">
        <is>
          <t>/solutions/leadership/communicating-with-purpose/</t>
        </is>
      </c>
      <c r="D26" s="17" t="inlineStr">
        <is>
          <t>/curriculum/leadership/communicating-with-purpose/</t>
        </is>
      </c>
      <c r="E26" s="17" t="inlineStr">
        <is>
          <t>301</t>
        </is>
      </c>
      <c r="F26" s="14" t="inlineStr">
        <is>
          <t>EXISTS: URL changes in proposed architecture.</t>
        </is>
      </c>
      <c r="G26" s="16" t="inlineStr">
        <is>
          <t>DRAFT — HUMAN REVIEW</t>
        </is>
      </c>
      <c r="H26" s="16" t="inlineStr">
        <is>
          <t>SimpliCreative → NuVue approves</t>
        </is>
      </c>
    </row>
    <row r="27">
      <c r="A27" s="16" t="n">
        <v>23</v>
      </c>
      <c r="B27" s="16" t="inlineStr">
        <is>
          <t>NUV-P026</t>
        </is>
      </c>
      <c r="C27" s="14" t="inlineStr">
        <is>
          <t>/solutions/leadership/managing-conflict/</t>
        </is>
      </c>
      <c r="D27" s="17" t="inlineStr">
        <is>
          <t>/curriculum/leadership/managing-conflict/</t>
        </is>
      </c>
      <c r="E27" s="17" t="inlineStr">
        <is>
          <t>301</t>
        </is>
      </c>
      <c r="F27" s="14" t="inlineStr">
        <is>
          <t>EXISTS: URL changes in proposed architecture.</t>
        </is>
      </c>
      <c r="G27" s="16" t="inlineStr">
        <is>
          <t>DRAFT — HUMAN REVIEW</t>
        </is>
      </c>
      <c r="H27" s="16" t="inlineStr">
        <is>
          <t>SimpliCreative → NuVue approves</t>
        </is>
      </c>
    </row>
    <row r="28">
      <c r="A28" s="16" t="n">
        <v>24</v>
      </c>
      <c r="B28" s="16" t="inlineStr">
        <is>
          <t>NUV-P027</t>
        </is>
      </c>
      <c r="C28" s="14" t="inlineStr">
        <is>
          <t>/solutions/leadership/managing-styles-in-conflict/</t>
        </is>
      </c>
      <c r="D28" s="17" t="inlineStr">
        <is>
          <t>/curriculum/leadership/managing-styles-in-conflict/</t>
        </is>
      </c>
      <c r="E28" s="17" t="inlineStr">
        <is>
          <t>301</t>
        </is>
      </c>
      <c r="F28" s="14" t="inlineStr">
        <is>
          <t>EXISTS: URL changes in proposed architecture.</t>
        </is>
      </c>
      <c r="G28" s="16" t="inlineStr">
        <is>
          <t>DRAFT — HUMAN REVIEW</t>
        </is>
      </c>
      <c r="H28" s="16" t="inlineStr">
        <is>
          <t>SimpliCreative → NuVue approves</t>
        </is>
      </c>
    </row>
    <row r="29">
      <c r="A29" s="16" t="n">
        <v>25</v>
      </c>
      <c r="B29" s="16" t="inlineStr">
        <is>
          <t>NUV-P028</t>
        </is>
      </c>
      <c r="C29" s="14" t="inlineStr">
        <is>
          <t>/solutions/leadership/meeting-leadership-challenges/</t>
        </is>
      </c>
      <c r="D29" s="17" t="inlineStr">
        <is>
          <t>/curriculum/leadership/meeting-leadership-challenges/</t>
        </is>
      </c>
      <c r="E29" s="17" t="inlineStr">
        <is>
          <t>301</t>
        </is>
      </c>
      <c r="F29" s="14" t="inlineStr">
        <is>
          <t>EXISTS: URL changes in proposed architecture.</t>
        </is>
      </c>
      <c r="G29" s="16" t="inlineStr">
        <is>
          <t>DRAFT — HUMAN REVIEW</t>
        </is>
      </c>
      <c r="H29" s="16" t="inlineStr">
        <is>
          <t>SimpliCreative → NuVue approves</t>
        </is>
      </c>
    </row>
    <row r="30">
      <c r="A30" s="16" t="n">
        <v>26</v>
      </c>
      <c r="B30" s="16" t="inlineStr">
        <is>
          <t>NUV-P029</t>
        </is>
      </c>
      <c r="C30" s="14" t="inlineStr">
        <is>
          <t>/solutions/leadership/delegating-with-confidence/</t>
        </is>
      </c>
      <c r="D30" s="17" t="inlineStr">
        <is>
          <t>/curriculum/leadership/delegating-with-confidence/</t>
        </is>
      </c>
      <c r="E30" s="17" t="inlineStr">
        <is>
          <t>301</t>
        </is>
      </c>
      <c r="F30" s="14" t="inlineStr">
        <is>
          <t>EXISTS: URL changes in proposed architecture.</t>
        </is>
      </c>
      <c r="G30" s="16" t="inlineStr">
        <is>
          <t>DRAFT — HUMAN REVIEW</t>
        </is>
      </c>
      <c r="H30" s="16" t="inlineStr">
        <is>
          <t>SimpliCreative → NuVue approves</t>
        </is>
      </c>
    </row>
    <row r="31">
      <c r="A31" s="16" t="n">
        <v>27</v>
      </c>
      <c r="B31" s="16" t="inlineStr">
        <is>
          <t>NUV-P030</t>
        </is>
      </c>
      <c r="C31" s="14" t="inlineStr">
        <is>
          <t>/solutions/leadership/leading-from-within/</t>
        </is>
      </c>
      <c r="D31" s="17" t="inlineStr">
        <is>
          <t>/curriculum/leadership/leading-from-within/</t>
        </is>
      </c>
      <c r="E31" s="17" t="inlineStr">
        <is>
          <t>301</t>
        </is>
      </c>
      <c r="F31" s="14" t="inlineStr">
        <is>
          <t>EXISTS: URL changes in proposed architecture.</t>
        </is>
      </c>
      <c r="G31" s="16" t="inlineStr">
        <is>
          <t>DRAFT — HUMAN REVIEW</t>
        </is>
      </c>
      <c r="H31" s="16" t="inlineStr">
        <is>
          <t>SimpliCreative → NuVue approves</t>
        </is>
      </c>
    </row>
    <row r="32">
      <c r="A32" s="16" t="n">
        <v>28</v>
      </c>
      <c r="B32" s="16" t="inlineStr">
        <is>
          <t>NUV-P031</t>
        </is>
      </c>
      <c r="C32" s="14" t="inlineStr">
        <is>
          <t>/solutions/leadership/leading-in-challenging-times/</t>
        </is>
      </c>
      <c r="D32" s="17" t="inlineStr">
        <is>
          <t>/curriculum/leadership/leading-in-challenging-times/</t>
        </is>
      </c>
      <c r="E32" s="17" t="inlineStr">
        <is>
          <t>301</t>
        </is>
      </c>
      <c r="F32" s="14" t="inlineStr">
        <is>
          <t>EXISTS: URL changes in proposed architecture.</t>
        </is>
      </c>
      <c r="G32" s="16" t="inlineStr">
        <is>
          <t>DRAFT — HUMAN REVIEW</t>
        </is>
      </c>
      <c r="H32" s="16" t="inlineStr">
        <is>
          <t>SimpliCreative → NuVue approves</t>
        </is>
      </c>
    </row>
    <row r="33">
      <c r="A33" s="16" t="n">
        <v>29</v>
      </c>
      <c r="B33" s="16" t="inlineStr">
        <is>
          <t>NUV-P032</t>
        </is>
      </c>
      <c r="C33" s="14" t="inlineStr">
        <is>
          <t>/solutions/leadership/the-leader-manager/</t>
        </is>
      </c>
      <c r="D33" s="17" t="inlineStr">
        <is>
          <t>/curriculum/leadership/the-leader-manager/</t>
        </is>
      </c>
      <c r="E33" s="17" t="inlineStr">
        <is>
          <t>301</t>
        </is>
      </c>
      <c r="F33" s="14" t="inlineStr">
        <is>
          <t>EXISTS: URL changes in proposed architecture.</t>
        </is>
      </c>
      <c r="G33" s="16" t="inlineStr">
        <is>
          <t>DRAFT — HUMAN REVIEW</t>
        </is>
      </c>
      <c r="H33" s="16" t="inlineStr">
        <is>
          <t>SimpliCreative → NuVue approves</t>
        </is>
      </c>
    </row>
    <row r="34">
      <c r="A34" s="16" t="n">
        <v>30</v>
      </c>
      <c r="B34" s="16" t="inlineStr">
        <is>
          <t>NUV-P033</t>
        </is>
      </c>
      <c r="C34" s="14" t="inlineStr">
        <is>
          <t>/solutions/leadership/creating-a-culture-of-engagement/</t>
        </is>
      </c>
      <c r="D34" s="17" t="inlineStr">
        <is>
          <t>/curriculum/leadership/creating-a-culture-of-engagement/</t>
        </is>
      </c>
      <c r="E34" s="17" t="inlineStr">
        <is>
          <t>301</t>
        </is>
      </c>
      <c r="F34" s="14" t="inlineStr">
        <is>
          <t>EXISTS: URL changes in proposed architecture.</t>
        </is>
      </c>
      <c r="G34" s="16" t="inlineStr">
        <is>
          <t>DRAFT — HUMAN REVIEW</t>
        </is>
      </c>
      <c r="H34" s="16" t="inlineStr">
        <is>
          <t>SimpliCreative → NuVue approves</t>
        </is>
      </c>
    </row>
    <row r="35">
      <c r="A35" s="16" t="n">
        <v>31</v>
      </c>
      <c r="B35" s="16" t="inlineStr">
        <is>
          <t>NUV-P034</t>
        </is>
      </c>
      <c r="C35" s="14" t="inlineStr">
        <is>
          <t>/solutions/leadership/getting-to-yes-influencing-for-optimal-results/</t>
        </is>
      </c>
      <c r="D35" s="17" t="inlineStr">
        <is>
          <t>/curriculum/leadership/getting-to-yes/</t>
        </is>
      </c>
      <c r="E35" s="17" t="inlineStr">
        <is>
          <t>301</t>
        </is>
      </c>
      <c r="F35" s="14" t="inlineStr">
        <is>
          <t>EXISTS: URL changes in proposed architecture.</t>
        </is>
      </c>
      <c r="G35" s="16" t="inlineStr">
        <is>
          <t>DRAFT — HUMAN REVIEW</t>
        </is>
      </c>
      <c r="H35" s="16" t="inlineStr">
        <is>
          <t>SimpliCreative → NuVue approves</t>
        </is>
      </c>
    </row>
    <row r="36">
      <c r="A36" s="16" t="n">
        <v>32</v>
      </c>
      <c r="B36" s="16" t="inlineStr">
        <is>
          <t>NUV-P035</t>
        </is>
      </c>
      <c r="C36" s="14" t="inlineStr">
        <is>
          <t>/solutions/leadership/global-effectiveness/</t>
        </is>
      </c>
      <c r="D36" s="17" t="inlineStr">
        <is>
          <t>/curriculum/leadership/global-effectiveness/</t>
        </is>
      </c>
      <c r="E36" s="17" t="inlineStr">
        <is>
          <t>301</t>
        </is>
      </c>
      <c r="F36" s="14" t="inlineStr">
        <is>
          <t>EXISTS: URL changes in proposed architecture.</t>
        </is>
      </c>
      <c r="G36" s="16" t="inlineStr">
        <is>
          <t>DRAFT — HUMAN REVIEW</t>
        </is>
      </c>
      <c r="H36" s="16" t="inlineStr">
        <is>
          <t>SimpliCreative → NuVue approves</t>
        </is>
      </c>
    </row>
    <row r="37">
      <c r="A37" s="16" t="n">
        <v>33</v>
      </c>
      <c r="B37" s="16" t="inlineStr">
        <is>
          <t>NUV-P036</t>
        </is>
      </c>
      <c r="C37" s="14" t="inlineStr">
        <is>
          <t>/solutions/leadership/motivating-for-results/</t>
        </is>
      </c>
      <c r="D37" s="17" t="inlineStr">
        <is>
          <t>/curriculum/leadership/motivating-for-results/</t>
        </is>
      </c>
      <c r="E37" s="17" t="inlineStr">
        <is>
          <t>301</t>
        </is>
      </c>
      <c r="F37" s="14" t="inlineStr">
        <is>
          <t>EXISTS: URL changes in proposed architecture.</t>
        </is>
      </c>
      <c r="G37" s="16" t="inlineStr">
        <is>
          <t>DRAFT — HUMAN REVIEW</t>
        </is>
      </c>
      <c r="H37" s="16" t="inlineStr">
        <is>
          <t>SimpliCreative → NuVue approves</t>
        </is>
      </c>
    </row>
    <row r="38">
      <c r="A38" s="16" t="n">
        <v>34</v>
      </c>
      <c r="B38" s="16" t="inlineStr">
        <is>
          <t>NUV-P037</t>
        </is>
      </c>
      <c r="C38" s="14" t="inlineStr">
        <is>
          <t>/solutions/leadership/leading-for-growth/</t>
        </is>
      </c>
      <c r="D38" s="17" t="inlineStr">
        <is>
          <t>/curriculum/leadership/leading-for-growth/</t>
        </is>
      </c>
      <c r="E38" s="17" t="inlineStr">
        <is>
          <t>301</t>
        </is>
      </c>
      <c r="F38" s="14" t="inlineStr">
        <is>
          <t>EXISTS: URL changes in proposed architecture.</t>
        </is>
      </c>
      <c r="G38" s="16" t="inlineStr">
        <is>
          <t>DRAFT — HUMAN REVIEW</t>
        </is>
      </c>
      <c r="H38" s="16" t="inlineStr">
        <is>
          <t>SimpliCreative → NuVue approves</t>
        </is>
      </c>
    </row>
    <row r="39">
      <c r="A39" s="16" t="n">
        <v>35</v>
      </c>
      <c r="B39" s="16" t="inlineStr">
        <is>
          <t>NUV-P038</t>
        </is>
      </c>
      <c r="C39" s="14" t="inlineStr">
        <is>
          <t>/solutions/leadership/interviewing-for-selection/</t>
        </is>
      </c>
      <c r="D39" s="17" t="inlineStr">
        <is>
          <t>/curriculum/leadership/interviewing-for-selection/</t>
        </is>
      </c>
      <c r="E39" s="17" t="inlineStr">
        <is>
          <t>301</t>
        </is>
      </c>
      <c r="F39" s="14" t="inlineStr">
        <is>
          <t>EXISTS: URL changes in proposed architecture.</t>
        </is>
      </c>
      <c r="G39" s="16" t="inlineStr">
        <is>
          <t>DRAFT — HUMAN REVIEW</t>
        </is>
      </c>
      <c r="H39" s="16" t="inlineStr">
        <is>
          <t>SimpliCreative → NuVue approves</t>
        </is>
      </c>
    </row>
    <row r="40">
      <c r="A40" s="16" t="n">
        <v>36</v>
      </c>
      <c r="B40" s="16" t="inlineStr">
        <is>
          <t>NUV-P039</t>
        </is>
      </c>
      <c r="C40" s="14" t="inlineStr">
        <is>
          <t>/solutions/leadership/consulting-with-clients/</t>
        </is>
      </c>
      <c r="D40" s="17" t="inlineStr">
        <is>
          <t>/curriculum/leadership/consulting-with-clients/</t>
        </is>
      </c>
      <c r="E40" s="17" t="inlineStr">
        <is>
          <t>301</t>
        </is>
      </c>
      <c r="F40" s="14" t="inlineStr">
        <is>
          <t>EXISTS: URL changes in proposed architecture.</t>
        </is>
      </c>
      <c r="G40" s="16" t="inlineStr">
        <is>
          <t>DRAFT — HUMAN REVIEW</t>
        </is>
      </c>
      <c r="H40" s="16" t="inlineStr">
        <is>
          <t>SimpliCreative → NuVue approves</t>
        </is>
      </c>
    </row>
    <row r="41">
      <c r="A41" s="16" t="n">
        <v>37</v>
      </c>
      <c r="B41" s="16" t="inlineStr">
        <is>
          <t>NUV-P040</t>
        </is>
      </c>
      <c r="C41" s="14" t="inlineStr">
        <is>
          <t>/solutions/leadership/work-life-balance/</t>
        </is>
      </c>
      <c r="D41" s="17" t="inlineStr">
        <is>
          <t>/curriculum/leadership/work-life-balance/</t>
        </is>
      </c>
      <c r="E41" s="17" t="inlineStr">
        <is>
          <t>301</t>
        </is>
      </c>
      <c r="F41" s="14" t="inlineStr">
        <is>
          <t>EXISTS: URL changes in proposed architecture.</t>
        </is>
      </c>
      <c r="G41" s="16" t="inlineStr">
        <is>
          <t>DRAFT — HUMAN REVIEW</t>
        </is>
      </c>
      <c r="H41" s="16" t="inlineStr">
        <is>
          <t>SimpliCreative → NuVue approves</t>
        </is>
      </c>
    </row>
    <row r="42">
      <c r="A42" s="16" t="n">
        <v>38</v>
      </c>
      <c r="B42" s="16" t="inlineStr">
        <is>
          <t>NUV-P041</t>
        </is>
      </c>
      <c r="C42" s="14" t="inlineStr">
        <is>
          <t>/solutions/leadership/working-styles-dimensions-of-social-styles/</t>
        </is>
      </c>
      <c r="D42" s="17" t="inlineStr">
        <is>
          <t>/curriculum/leadership/working-styles/</t>
        </is>
      </c>
      <c r="E42" s="17" t="inlineStr">
        <is>
          <t>301</t>
        </is>
      </c>
      <c r="F42" s="14" t="inlineStr">
        <is>
          <t>EXISTS: URL changes in proposed architecture.</t>
        </is>
      </c>
      <c r="G42" s="16" t="inlineStr">
        <is>
          <t>DRAFT — HUMAN REVIEW</t>
        </is>
      </c>
      <c r="H42" s="16" t="inlineStr">
        <is>
          <t>SimpliCreative → NuVue approves</t>
        </is>
      </c>
    </row>
    <row r="43">
      <c r="A43" s="16" t="n">
        <v>39</v>
      </c>
      <c r="B43" s="16" t="inlineStr">
        <is>
          <t>NUV-P042</t>
        </is>
      </c>
      <c r="C43" s="14" t="inlineStr">
        <is>
          <t>/solutions/team-building/building-high-performance-teams/</t>
        </is>
      </c>
      <c r="D43" s="17" t="inlineStr">
        <is>
          <t>/curriculum/leadership/building-high-performance-teams/</t>
        </is>
      </c>
      <c r="E43" s="17" t="inlineStr">
        <is>
          <t>301</t>
        </is>
      </c>
      <c r="F43" s="14" t="inlineStr">
        <is>
          <t>MOVED: URL changes in proposed architecture.</t>
        </is>
      </c>
      <c r="G43" s="16" t="inlineStr">
        <is>
          <t>DRAFT — HUMAN REVIEW</t>
        </is>
      </c>
      <c r="H43" s="16" t="inlineStr">
        <is>
          <t>SimpliCreative → NuVue approves</t>
        </is>
      </c>
    </row>
    <row r="44">
      <c r="A44" s="16" t="n">
        <v>40</v>
      </c>
      <c r="B44" s="16" t="inlineStr">
        <is>
          <t>NUV-P043</t>
        </is>
      </c>
      <c r="C44" s="14" t="inlineStr">
        <is>
          <t>/solutions/coaching/virtual-coaching/</t>
        </is>
      </c>
      <c r="D44" s="17" t="inlineStr">
        <is>
          <t>/curriculum/leadership/virtual-coaching/</t>
        </is>
      </c>
      <c r="E44" s="17" t="inlineStr">
        <is>
          <t>301</t>
        </is>
      </c>
      <c r="F44" s="14" t="inlineStr">
        <is>
          <t>EXISTS: URL changes in proposed architecture.</t>
        </is>
      </c>
      <c r="G44" s="16" t="inlineStr">
        <is>
          <t>DRAFT — HUMAN REVIEW</t>
        </is>
      </c>
      <c r="H44" s="16" t="inlineStr">
        <is>
          <t>SimpliCreative → NuVue approves</t>
        </is>
      </c>
    </row>
    <row r="45">
      <c r="A45" s="16" t="n">
        <v>41</v>
      </c>
      <c r="B45" s="16" t="inlineStr">
        <is>
          <t>NUV-P044</t>
        </is>
      </c>
      <c r="C45" s="14" t="inlineStr">
        <is>
          <t>/solutions/assessments/leadership-assessments/</t>
        </is>
      </c>
      <c r="D45" s="17" t="inlineStr">
        <is>
          <t>/curriculum/leadership/leadership-assessments/</t>
        </is>
      </c>
      <c r="E45" s="17" t="inlineStr">
        <is>
          <t>301</t>
        </is>
      </c>
      <c r="F45" s="14" t="inlineStr">
        <is>
          <t>MOVED: URL changes in proposed architecture.</t>
        </is>
      </c>
      <c r="G45" s="16" t="inlineStr">
        <is>
          <t>DRAFT — HUMAN REVIEW</t>
        </is>
      </c>
      <c r="H45" s="16" t="inlineStr">
        <is>
          <t>SimpliCreative → NuVue approves</t>
        </is>
      </c>
    </row>
    <row r="46">
      <c r="A46" s="16" t="n">
        <v>42</v>
      </c>
      <c r="B46" s="16" t="inlineStr">
        <is>
          <t>NUV-P045</t>
        </is>
      </c>
      <c r="C46" s="14" t="inlineStr">
        <is>
          <t>/solutions/assessments/the-ara-navigator-360/</t>
        </is>
      </c>
      <c r="D46" s="17" t="inlineStr">
        <is>
          <t>/curriculum/leadership/ara-navigator-360/</t>
        </is>
      </c>
      <c r="E46" s="17" t="inlineStr">
        <is>
          <t>301</t>
        </is>
      </c>
      <c r="F46" s="14" t="inlineStr">
        <is>
          <t>EXISTS: URL changes in proposed architecture.</t>
        </is>
      </c>
      <c r="G46" s="16" t="inlineStr">
        <is>
          <t>DRAFT — HUMAN REVIEW</t>
        </is>
      </c>
      <c r="H46" s="16" t="inlineStr">
        <is>
          <t>SimpliCreative → NuVue approves</t>
        </is>
      </c>
    </row>
    <row r="47">
      <c r="A47" s="16" t="n">
        <v>43</v>
      </c>
      <c r="B47" s="16" t="inlineStr">
        <is>
          <t>NUV-P046</t>
        </is>
      </c>
      <c r="C47" s="14" t="inlineStr">
        <is>
          <t>/solutions/business-acumen/</t>
        </is>
      </c>
      <c r="D47" s="17" t="inlineStr">
        <is>
          <t>/curriculum/business-acumen/</t>
        </is>
      </c>
      <c r="E47" s="17" t="inlineStr">
        <is>
          <t>301</t>
        </is>
      </c>
      <c r="F47" s="14" t="inlineStr">
        <is>
          <t>RESTRUCTURED: URL changes in proposed architecture.</t>
        </is>
      </c>
      <c r="G47" s="16" t="inlineStr">
        <is>
          <t>DRAFT — HUMAN REVIEW</t>
        </is>
      </c>
      <c r="H47" s="16" t="inlineStr">
        <is>
          <t>SimpliCreative → NuVue approves</t>
        </is>
      </c>
    </row>
    <row r="48">
      <c r="A48" s="16" t="n">
        <v>44</v>
      </c>
      <c r="B48" s="16" t="inlineStr">
        <is>
          <t>NUV-P047</t>
        </is>
      </c>
      <c r="C48" s="14" t="inlineStr">
        <is>
          <t>/solutions/business-acumen/business-basics/</t>
        </is>
      </c>
      <c r="D48" s="17" t="inlineStr">
        <is>
          <t>/curriculum/business-acumen/income-outcome/</t>
        </is>
      </c>
      <c r="E48" s="17" t="inlineStr">
        <is>
          <t>301</t>
        </is>
      </c>
      <c r="F48" s="14" t="inlineStr">
        <is>
          <t>ENHANCED: URL changes in proposed architecture.</t>
        </is>
      </c>
      <c r="G48" s="16" t="inlineStr">
        <is>
          <t>DRAFT — HUMAN REVIEW</t>
        </is>
      </c>
      <c r="H48" s="16" t="inlineStr">
        <is>
          <t>SimpliCreative → NuVue approves</t>
        </is>
      </c>
    </row>
    <row r="49">
      <c r="A49" s="16" t="n">
        <v>45</v>
      </c>
      <c r="B49" s="16" t="inlineStr">
        <is>
          <t>NUV-P048</t>
        </is>
      </c>
      <c r="C49" s="14" t="inlineStr">
        <is>
          <t>/solutions/business-acumen/finance-for-sales-professionals/</t>
        </is>
      </c>
      <c r="D49" s="17" t="inlineStr">
        <is>
          <t>/curriculum/business-acumen/finance-for-sales-professionals/</t>
        </is>
      </c>
      <c r="E49" s="17" t="inlineStr">
        <is>
          <t>301</t>
        </is>
      </c>
      <c r="F49" s="14" t="inlineStr">
        <is>
          <t>EXISTS: URL changes in proposed architecture.</t>
        </is>
      </c>
      <c r="G49" s="16" t="inlineStr">
        <is>
          <t>DRAFT — HUMAN REVIEW</t>
        </is>
      </c>
      <c r="H49" s="16" t="inlineStr">
        <is>
          <t>SimpliCreative → NuVue approves</t>
        </is>
      </c>
    </row>
    <row r="50">
      <c r="A50" s="16" t="n">
        <v>46</v>
      </c>
      <c r="B50" s="16" t="inlineStr">
        <is>
          <t>NUV-P049</t>
        </is>
      </c>
      <c r="C50" s="14" t="inlineStr">
        <is>
          <t>/solutions/business-acumen/finance-for-managers-and-executives/</t>
        </is>
      </c>
      <c r="D50" s="17" t="inlineStr">
        <is>
          <t>/curriculum/business-acumen/finance-for-managers-and-executives/</t>
        </is>
      </c>
      <c r="E50" s="17" t="inlineStr">
        <is>
          <t>301</t>
        </is>
      </c>
      <c r="F50" s="14" t="inlineStr">
        <is>
          <t>EXISTS: URL changes in proposed architecture.</t>
        </is>
      </c>
      <c r="G50" s="16" t="inlineStr">
        <is>
          <t>DRAFT — HUMAN REVIEW</t>
        </is>
      </c>
      <c r="H50" s="16" t="inlineStr">
        <is>
          <t>SimpliCreative → NuVue approves</t>
        </is>
      </c>
    </row>
    <row r="51">
      <c r="A51" s="16" t="n">
        <v>47</v>
      </c>
      <c r="B51" s="16" t="inlineStr">
        <is>
          <t>NUV-P050</t>
        </is>
      </c>
      <c r="C51" s="14" t="inlineStr">
        <is>
          <t>/solutions/business-acumen/finance-for-everyone/</t>
        </is>
      </c>
      <c r="D51" s="17" t="inlineStr">
        <is>
          <t>/curriculum/business-acumen/finance-for-everyone/</t>
        </is>
      </c>
      <c r="E51" s="17" t="inlineStr">
        <is>
          <t>301</t>
        </is>
      </c>
      <c r="F51" s="14" t="inlineStr">
        <is>
          <t>EXISTS: URL changes in proposed architecture.</t>
        </is>
      </c>
      <c r="G51" s="16" t="inlineStr">
        <is>
          <t>DRAFT — HUMAN REVIEW</t>
        </is>
      </c>
      <c r="H51" s="16" t="inlineStr">
        <is>
          <t>SimpliCreative → NuVue approves</t>
        </is>
      </c>
    </row>
    <row r="52">
      <c r="A52" s="16" t="n">
        <v>48</v>
      </c>
      <c r="B52" s="16" t="inlineStr">
        <is>
          <t>NUV-P052</t>
        </is>
      </c>
      <c r="C52" s="14" t="inlineStr">
        <is>
          <t>/industries-we-serve/</t>
        </is>
      </c>
      <c r="D52" s="17" t="inlineStr">
        <is>
          <t>/industries/</t>
        </is>
      </c>
      <c r="E52" s="17" t="inlineStr">
        <is>
          <t>301</t>
        </is>
      </c>
      <c r="F52" s="14" t="inlineStr">
        <is>
          <t>ENHANCED: URL changes in proposed architecture.</t>
        </is>
      </c>
      <c r="G52" s="16" t="inlineStr">
        <is>
          <t>DRAFT — HUMAN REVIEW</t>
        </is>
      </c>
      <c r="H52" s="16" t="inlineStr">
        <is>
          <t>SimpliCreative → NuVue approves</t>
        </is>
      </c>
    </row>
    <row r="53">
      <c r="A53" s="16" t="n">
        <v>49</v>
      </c>
      <c r="B53" s="16" t="inlineStr">
        <is>
          <t>NUV-P053</t>
        </is>
      </c>
      <c r="C53" s="14" t="inlineStr">
        <is>
          <t>/industries-we-serve/agriculture/</t>
        </is>
      </c>
      <c r="D53" s="17" t="inlineStr">
        <is>
          <t>/industries/agriculture/</t>
        </is>
      </c>
      <c r="E53" s="17" t="inlineStr">
        <is>
          <t>301</t>
        </is>
      </c>
      <c r="F53" s="14" t="inlineStr">
        <is>
          <t>ENHANCED: URL changes in proposed architecture.</t>
        </is>
      </c>
      <c r="G53" s="16" t="inlineStr">
        <is>
          <t>DRAFT — HUMAN REVIEW</t>
        </is>
      </c>
      <c r="H53" s="16" t="inlineStr">
        <is>
          <t>SimpliCreative → NuVue approves</t>
        </is>
      </c>
    </row>
    <row r="54">
      <c r="A54" s="16" t="n">
        <v>50</v>
      </c>
      <c r="B54" s="16" t="inlineStr">
        <is>
          <t>NUV-P054</t>
        </is>
      </c>
      <c r="C54" s="14" t="inlineStr">
        <is>
          <t>/industries-we-serve/manufacturing/</t>
        </is>
      </c>
      <c r="D54" s="17" t="inlineStr">
        <is>
          <t>/industries/manufacturing/</t>
        </is>
      </c>
      <c r="E54" s="17" t="inlineStr">
        <is>
          <t>301</t>
        </is>
      </c>
      <c r="F54" s="14" t="inlineStr">
        <is>
          <t>ENHANCED: URL changes in proposed architecture.</t>
        </is>
      </c>
      <c r="G54" s="16" t="inlineStr">
        <is>
          <t>DRAFT — HUMAN REVIEW</t>
        </is>
      </c>
      <c r="H54" s="16" t="inlineStr">
        <is>
          <t>SimpliCreative → NuVue approves</t>
        </is>
      </c>
    </row>
    <row r="55">
      <c r="A55" s="16" t="n">
        <v>51</v>
      </c>
      <c r="B55" s="16" t="inlineStr">
        <is>
          <t>NUV-P055</t>
        </is>
      </c>
      <c r="C55" s="14" t="inlineStr">
        <is>
          <t>/industries-we-serve/financial-services-and-insurance/</t>
        </is>
      </c>
      <c r="D55" s="17" t="inlineStr">
        <is>
          <t>/industries/insurance-financial-services/</t>
        </is>
      </c>
      <c r="E55" s="17" t="inlineStr">
        <is>
          <t>301</t>
        </is>
      </c>
      <c r="F55" s="14" t="inlineStr">
        <is>
          <t>ENHANCED: URL changes in proposed architecture.</t>
        </is>
      </c>
      <c r="G55" s="16" t="inlineStr">
        <is>
          <t>DRAFT — HUMAN REVIEW</t>
        </is>
      </c>
      <c r="H55" s="16" t="inlineStr">
        <is>
          <t>SimpliCreative → NuVue approves</t>
        </is>
      </c>
    </row>
    <row r="56">
      <c r="A56" s="16" t="n">
        <v>52</v>
      </c>
      <c r="B56" s="16" t="inlineStr">
        <is>
          <t>NUV-P056</t>
        </is>
      </c>
      <c r="C56" s="14" t="inlineStr">
        <is>
          <t>/industries-we-serve/turf-horticulture/</t>
        </is>
      </c>
      <c r="D56" s="17" t="inlineStr">
        <is>
          <t>/industries/turf-horticulture/</t>
        </is>
      </c>
      <c r="E56" s="17" t="inlineStr">
        <is>
          <t>301</t>
        </is>
      </c>
      <c r="F56" s="14" t="inlineStr">
        <is>
          <t>EXISTS: URL changes in proposed architecture.</t>
        </is>
      </c>
      <c r="G56" s="16" t="inlineStr">
        <is>
          <t>DRAFT — HUMAN REVIEW</t>
        </is>
      </c>
      <c r="H56" s="16" t="inlineStr">
        <is>
          <t>SimpliCreative → NuVue approves</t>
        </is>
      </c>
    </row>
    <row r="57">
      <c r="A57" s="16" t="n">
        <v>53</v>
      </c>
      <c r="B57" s="16" t="inlineStr">
        <is>
          <t>NUV-P057</t>
        </is>
      </c>
      <c r="C57" s="14" t="inlineStr">
        <is>
          <t>/industries-we-serve/sales-and-services/</t>
        </is>
      </c>
      <c r="D57" s="17" t="inlineStr">
        <is>
          <t>/industries/sales-and-services/</t>
        </is>
      </c>
      <c r="E57" s="17" t="inlineStr">
        <is>
          <t>301</t>
        </is>
      </c>
      <c r="F57" s="14" t="inlineStr">
        <is>
          <t>EXISTS: URL changes in proposed architecture.</t>
        </is>
      </c>
      <c r="G57" s="16" t="inlineStr">
        <is>
          <t>DRAFT — HUMAN REVIEW</t>
        </is>
      </c>
      <c r="H57" s="16" t="inlineStr">
        <is>
          <t>SimpliCreative → NuVue approves</t>
        </is>
      </c>
    </row>
    <row r="58">
      <c r="A58" s="16" t="n">
        <v>54</v>
      </c>
      <c r="B58" s="16" t="inlineStr">
        <is>
          <t>NUV-P058</t>
        </is>
      </c>
      <c r="C58" s="14" t="inlineStr">
        <is>
          <t>/industries-we-serve/healthcare-science-biotech/</t>
        </is>
      </c>
      <c r="D58" s="17" t="inlineStr">
        <is>
          <t>/industries/healthcare-science-biotech/</t>
        </is>
      </c>
      <c r="E58" s="17" t="inlineStr">
        <is>
          <t>301</t>
        </is>
      </c>
      <c r="F58" s="14" t="inlineStr">
        <is>
          <t>EXISTS: URL changes in proposed architecture.</t>
        </is>
      </c>
      <c r="G58" s="16" t="inlineStr">
        <is>
          <t>DRAFT — HUMAN REVIEW</t>
        </is>
      </c>
      <c r="H58" s="16" t="inlineStr">
        <is>
          <t>SimpliCreative → NuVue approves</t>
        </is>
      </c>
    </row>
    <row r="59">
      <c r="A59" s="16" t="n">
        <v>55</v>
      </c>
      <c r="B59" s="16" t="inlineStr">
        <is>
          <t>NUV-P060</t>
        </is>
      </c>
      <c r="C59" s="14" t="inlineStr">
        <is>
          <t>/solutions/assessments/</t>
        </is>
      </c>
      <c r="D59" s="17" t="inlineStr">
        <is>
          <t>/resources/assessments/</t>
        </is>
      </c>
      <c r="E59" s="17" t="inlineStr">
        <is>
          <t>301</t>
        </is>
      </c>
      <c r="F59" s="14" t="inlineStr">
        <is>
          <t>MOVED: URL changes in proposed architecture.</t>
        </is>
      </c>
      <c r="G59" s="16" t="inlineStr">
        <is>
          <t>DRAFT — HUMAN REVIEW</t>
        </is>
      </c>
      <c r="H59" s="16" t="inlineStr">
        <is>
          <t>SimpliCreative → NuVue approves</t>
        </is>
      </c>
    </row>
    <row r="60">
      <c r="A60" s="16" t="n">
        <v>56</v>
      </c>
      <c r="B60" s="16" t="inlineStr">
        <is>
          <t>NUV-P061</t>
        </is>
      </c>
      <c r="C60" s="14" t="inlineStr">
        <is>
          <t>/blog/</t>
        </is>
      </c>
      <c r="D60" s="17" t="inlineStr">
        <is>
          <t>/resources/blog/</t>
        </is>
      </c>
      <c r="E60" s="17" t="inlineStr">
        <is>
          <t>301</t>
        </is>
      </c>
      <c r="F60" s="14" t="inlineStr">
        <is>
          <t>ENHANCED: URL changes in proposed architecture.</t>
        </is>
      </c>
      <c r="G60" s="16" t="inlineStr">
        <is>
          <t>DRAFT — HUMAN REVIEW</t>
        </is>
      </c>
      <c r="H60" s="16" t="inlineStr">
        <is>
          <t>SimpliCreative → NuVue approves</t>
        </is>
      </c>
    </row>
    <row r="61">
      <c r="A61" s="16" t="n">
        <v>57</v>
      </c>
      <c r="B61" s="16" t="inlineStr">
        <is>
          <t>NUV-P062</t>
        </is>
      </c>
      <c r="C61" s="14" t="inlineStr">
        <is>
          <t>/articles/</t>
        </is>
      </c>
      <c r="D61" s="17" t="inlineStr">
        <is>
          <t>/resources/articles/</t>
        </is>
      </c>
      <c r="E61" s="17" t="inlineStr">
        <is>
          <t>301</t>
        </is>
      </c>
      <c r="F61" s="14" t="inlineStr">
        <is>
          <t>EXISTS: URL changes in proposed architecture.</t>
        </is>
      </c>
      <c r="G61" s="16" t="inlineStr">
        <is>
          <t>DRAFT — HUMAN REVIEW</t>
        </is>
      </c>
      <c r="H61" s="16" t="inlineStr">
        <is>
          <t>SimpliCreative → NuVue approves</t>
        </is>
      </c>
    </row>
    <row r="62">
      <c r="A62" s="16" t="n">
        <v>58</v>
      </c>
      <c r="B62" s="16" t="inlineStr">
        <is>
          <t>NUV-P063</t>
        </is>
      </c>
      <c r="C62" s="14" t="inlineStr">
        <is>
          <t>/podcasts/</t>
        </is>
      </c>
      <c r="D62" s="17" t="inlineStr">
        <is>
          <t>/resources/podcasts/</t>
        </is>
      </c>
      <c r="E62" s="17" t="inlineStr">
        <is>
          <t>301</t>
        </is>
      </c>
      <c r="F62" s="14" t="inlineStr">
        <is>
          <t>EXISTS: URL changes in proposed architecture.</t>
        </is>
      </c>
      <c r="G62" s="16" t="inlineStr">
        <is>
          <t>DRAFT — HUMAN REVIEW</t>
        </is>
      </c>
      <c r="H62" s="16" t="inlineStr">
        <is>
          <t>SimpliCreative → NuVue approves</t>
        </is>
      </c>
    </row>
    <row r="63">
      <c r="A63" s="16" t="n">
        <v>59</v>
      </c>
      <c r="B63" s="16" t="inlineStr">
        <is>
          <t>NUV-P065</t>
        </is>
      </c>
      <c r="C63" s="14" t="inlineStr">
        <is>
          <t>/testimonials/</t>
        </is>
      </c>
      <c r="D63" s="17" t="inlineStr">
        <is>
          <t>/resources/testimonials/</t>
        </is>
      </c>
      <c r="E63" s="17" t="inlineStr">
        <is>
          <t>301</t>
        </is>
      </c>
      <c r="F63" s="14" t="inlineStr">
        <is>
          <t>EXISTS: URL changes in proposed architecture.</t>
        </is>
      </c>
      <c r="G63" s="16" t="inlineStr">
        <is>
          <t>DRAFT — HUMAN REVIEW</t>
        </is>
      </c>
      <c r="H63" s="16" t="inlineStr">
        <is>
          <t>SimpliCreative → NuVue approves</t>
        </is>
      </c>
    </row>
    <row r="64">
      <c r="A64" s="16" t="n">
        <v>60</v>
      </c>
      <c r="B64" s="16" t="inlineStr">
        <is>
          <t>NUV-P070</t>
        </is>
      </c>
      <c r="C64" s="14" t="inlineStr">
        <is>
          <t>/about-us/</t>
        </is>
      </c>
      <c r="D64" s="17" t="inlineStr">
        <is>
          <t>/about/</t>
        </is>
      </c>
      <c r="E64" s="17" t="inlineStr">
        <is>
          <t>301</t>
        </is>
      </c>
      <c r="F64" s="14" t="inlineStr">
        <is>
          <t>ENHANCED: URL changes in proposed architecture.</t>
        </is>
      </c>
      <c r="G64" s="16" t="inlineStr">
        <is>
          <t>DRAFT — HUMAN REVIEW</t>
        </is>
      </c>
      <c r="H64" s="16" t="inlineStr">
        <is>
          <t>SimpliCreative → NuVue approves</t>
        </is>
      </c>
    </row>
    <row r="65">
      <c r="A65" s="16" t="n">
        <v>61</v>
      </c>
      <c r="B65" s="16" t="inlineStr">
        <is>
          <t>NUV-P072</t>
        </is>
      </c>
      <c r="C65" s="14" t="inlineStr">
        <is>
          <t>/about-us/meet-our-team/</t>
        </is>
      </c>
      <c r="D65" s="17" t="inlineStr">
        <is>
          <t>/about/team/</t>
        </is>
      </c>
      <c r="E65" s="17" t="inlineStr">
        <is>
          <t>301</t>
        </is>
      </c>
      <c r="F65" s="14" t="inlineStr">
        <is>
          <t>EXISTS: URL changes in proposed architecture.</t>
        </is>
      </c>
      <c r="G65" s="16" t="inlineStr">
        <is>
          <t>DRAFT — HUMAN REVIEW</t>
        </is>
      </c>
      <c r="H65" s="16" t="inlineStr">
        <is>
          <t>SimpliCreative → NuVue approves</t>
        </is>
      </c>
    </row>
    <row r="66">
      <c r="A66" s="16" t="n">
        <v>62</v>
      </c>
      <c r="B66" s="16" t="inlineStr">
        <is>
          <t>NUV-P073</t>
        </is>
      </c>
      <c r="C66" s="14" t="inlineStr">
        <is>
          <t>/join-our-team/</t>
        </is>
      </c>
      <c r="D66" s="17" t="inlineStr">
        <is>
          <t>/about/careers/</t>
        </is>
      </c>
      <c r="E66" s="17" t="inlineStr">
        <is>
          <t>301</t>
        </is>
      </c>
      <c r="F66" s="14" t="inlineStr">
        <is>
          <t>EXISTS: URL changes in proposed architecture.</t>
        </is>
      </c>
      <c r="G66" s="16" t="inlineStr">
        <is>
          <t>DRAFT — HUMAN REVIEW</t>
        </is>
      </c>
      <c r="H66" s="16" t="inlineStr">
        <is>
          <t>SimpliCreative → NuVue approves</t>
        </is>
      </c>
    </row>
    <row r="67">
      <c r="A67" s="16" t="n">
        <v>63</v>
      </c>
      <c r="B67" s="16" t="inlineStr">
        <is>
          <t>NUV-P075</t>
        </is>
      </c>
      <c r="C67" s="14" t="inlineStr">
        <is>
          <t>/solutions/sales-enablement/counselor-salesperson-365-guarantee-program-enrollment/</t>
        </is>
      </c>
      <c r="D67" s="17" t="inlineStr">
        <is>
          <t>/apply-guarantee/</t>
        </is>
      </c>
      <c r="E67" s="17" t="inlineStr">
        <is>
          <t>301</t>
        </is>
      </c>
      <c r="F67" s="14" t="inlineStr">
        <is>
          <t>NEW: URL changes in proposed architecture.</t>
        </is>
      </c>
      <c r="G67" s="16" t="inlineStr">
        <is>
          <t>DRAFT — HUMAN REVIEW</t>
        </is>
      </c>
      <c r="H67" s="16" t="inlineStr">
        <is>
          <t>SimpliCreative → NuVue approves</t>
        </is>
      </c>
    </row>
    <row r="68">
      <c r="A68" s="16" t="n">
        <v>64</v>
      </c>
      <c r="B68" s="16" t="inlineStr">
        <is>
          <t>NUV-P076</t>
        </is>
      </c>
      <c r="C68" s="14" t="inlineStr">
        <is>
          <t>/contact-us/</t>
        </is>
      </c>
      <c r="D68" s="17" t="inlineStr">
        <is>
          <t>/contact/</t>
        </is>
      </c>
      <c r="E68" s="17" t="inlineStr">
        <is>
          <t>301</t>
        </is>
      </c>
      <c r="F68" s="14" t="inlineStr">
        <is>
          <t>EXISTS: URL changes in proposed architecture.</t>
        </is>
      </c>
      <c r="G68" s="16" t="inlineStr">
        <is>
          <t>DRAFT — HUMAN REVIEW</t>
        </is>
      </c>
      <c r="H68" s="16" t="inlineStr">
        <is>
          <t>SimpliCreative → NuVue approves</t>
        </is>
      </c>
    </row>
    <row r="69">
      <c r="A69" s="16" t="n">
        <v>65</v>
      </c>
      <c r="B69" s="16" t="inlineStr">
        <is>
          <t>NUV-P090</t>
        </is>
      </c>
      <c r="C69" s="14" t="inlineStr">
        <is>
          <t>/public-seminars-2/</t>
        </is>
      </c>
      <c r="D69" s="15" t="inlineStr">
        <is>
          <t>TBD — HUMAN APPROVAL</t>
        </is>
      </c>
      <c r="E69" s="17" t="inlineStr">
        <is>
          <t>301 / retire</t>
        </is>
      </c>
      <c r="F69" s="14" t="inlineStr">
        <is>
          <t>Retired page requires an approved destination based on relevance and equity.</t>
        </is>
      </c>
      <c r="G69" s="18" t="inlineStr">
        <is>
          <t>OPEN</t>
        </is>
      </c>
      <c r="H69" s="16" t="inlineStr">
        <is>
          <t>SimpliCreative → NuVue approves</t>
        </is>
      </c>
    </row>
    <row r="70">
      <c r="A70" s="16" t="n">
        <v>66</v>
      </c>
      <c r="B70" s="16" t="inlineStr">
        <is>
          <t>NUV-P091</t>
        </is>
      </c>
      <c r="C70" s="14" t="inlineStr">
        <is>
          <t>/solutions/customer-service/</t>
        </is>
      </c>
      <c r="D70" s="15" t="inlineStr">
        <is>
          <t>TBD — HUMAN APPROVAL</t>
        </is>
      </c>
      <c r="E70" s="17" t="inlineStr">
        <is>
          <t>301 / retire</t>
        </is>
      </c>
      <c r="F70" s="14" t="inlineStr">
        <is>
          <t>Retired page requires an approved destination based on relevance and equity.</t>
        </is>
      </c>
      <c r="G70" s="18" t="inlineStr">
        <is>
          <t>OPEN</t>
        </is>
      </c>
      <c r="H70" s="16" t="inlineStr">
        <is>
          <t>SimpliCreative → NuVue approves</t>
        </is>
      </c>
    </row>
    <row r="71">
      <c r="A71" s="16" t="n">
        <v>67</v>
      </c>
      <c r="B71" s="16" t="inlineStr">
        <is>
          <t>NUV-P092</t>
        </is>
      </c>
      <c r="C71" s="14" t="inlineStr">
        <is>
          <t>/solutions/coaching/</t>
        </is>
      </c>
      <c r="D71" s="15" t="inlineStr">
        <is>
          <t>TBD — HUMAN APPROVAL</t>
        </is>
      </c>
      <c r="E71" s="17" t="inlineStr">
        <is>
          <t>301 / retire</t>
        </is>
      </c>
      <c r="F71" s="14" t="inlineStr">
        <is>
          <t>Retired page requires an approved destination based on relevance and equity.</t>
        </is>
      </c>
      <c r="G71" s="18" t="inlineStr">
        <is>
          <t>OPEN</t>
        </is>
      </c>
      <c r="H71" s="16" t="inlineStr">
        <is>
          <t>SimpliCreative → NuVue approves</t>
        </is>
      </c>
    </row>
    <row r="72">
      <c r="A72" s="16" t="n">
        <v>68</v>
      </c>
      <c r="B72" s="16" t="inlineStr">
        <is>
          <t>NUV-P093</t>
        </is>
      </c>
      <c r="C72" s="14" t="inlineStr">
        <is>
          <t>/sales-curriculum/</t>
        </is>
      </c>
      <c r="D72" s="15" t="inlineStr">
        <is>
          <t>TBD — HUMAN APPROVAL</t>
        </is>
      </c>
      <c r="E72" s="17" t="inlineStr">
        <is>
          <t>301 / retire</t>
        </is>
      </c>
      <c r="F72" s="14" t="inlineStr">
        <is>
          <t>Retired page requires an approved destination based on relevance and equity.</t>
        </is>
      </c>
      <c r="G72" s="18" t="inlineStr">
        <is>
          <t>OPEN</t>
        </is>
      </c>
      <c r="H72" s="16" t="inlineStr">
        <is>
          <t>SimpliCreative → NuVue approves</t>
        </is>
      </c>
    </row>
    <row r="73">
      <c r="A73" s="16" t="n">
        <v>69</v>
      </c>
      <c r="B73" s="16" t="inlineStr">
        <is>
          <t>NUV-P094</t>
        </is>
      </c>
      <c r="C73" s="14" t="inlineStr">
        <is>
          <t>/solutions/elearning/</t>
        </is>
      </c>
      <c r="D73" s="15" t="inlineStr">
        <is>
          <t>TBD — HUMAN APPROVAL</t>
        </is>
      </c>
      <c r="E73" s="17" t="inlineStr">
        <is>
          <t>301 / retire</t>
        </is>
      </c>
      <c r="F73" s="14" t="inlineStr">
        <is>
          <t>Retired page requires an approved destination based on relevance and equity.</t>
        </is>
      </c>
      <c r="G73" s="18" t="inlineStr">
        <is>
          <t>OPEN</t>
        </is>
      </c>
      <c r="H73" s="16" t="inlineStr">
        <is>
          <t>SimpliCreative → NuVue approves</t>
        </is>
      </c>
    </row>
    <row r="74">
      <c r="A74" s="16" t="n">
        <v>70</v>
      </c>
      <c r="B74" s="16" t="inlineStr">
        <is>
          <t>NUV-P095</t>
        </is>
      </c>
      <c r="C74" s="14" t="inlineStr">
        <is>
          <t>/events/</t>
        </is>
      </c>
      <c r="D74" s="15" t="inlineStr">
        <is>
          <t>TBD — HUMAN APPROVAL</t>
        </is>
      </c>
      <c r="E74" s="17" t="inlineStr">
        <is>
          <t>301 / retire</t>
        </is>
      </c>
      <c r="F74" s="14" t="inlineStr">
        <is>
          <t>Retired page requires an approved destination based on relevance and equity.</t>
        </is>
      </c>
      <c r="G74" s="18" t="inlineStr">
        <is>
          <t>OPEN</t>
        </is>
      </c>
      <c r="H74" s="16" t="inlineStr">
        <is>
          <t>SimpliCreative → NuVue approves</t>
        </is>
      </c>
    </row>
    <row r="75">
      <c r="A75" s="16" t="n">
        <v>71</v>
      </c>
      <c r="B75" s="16" t="inlineStr">
        <is>
          <t>NUV-P096</t>
        </is>
      </c>
      <c r="C75" s="14" t="inlineStr">
        <is>
          <t>/logos/</t>
        </is>
      </c>
      <c r="D75" s="15" t="inlineStr">
        <is>
          <t>TBD — HUMAN APPROVAL</t>
        </is>
      </c>
      <c r="E75" s="17" t="inlineStr">
        <is>
          <t>301 / retire</t>
        </is>
      </c>
      <c r="F75" s="14" t="inlineStr">
        <is>
          <t>Retired page requires an approved destination based on relevance and equity.</t>
        </is>
      </c>
      <c r="G75" s="18" t="inlineStr">
        <is>
          <t>OPEN</t>
        </is>
      </c>
      <c r="H75" s="16" t="inlineStr">
        <is>
          <t>SimpliCreative → NuVue approves</t>
        </is>
      </c>
    </row>
    <row r="76">
      <c r="A76" s="16" t="n">
        <v>72</v>
      </c>
      <c r="B76" s="16" t="inlineStr">
        <is>
          <t>NUV-P097</t>
        </is>
      </c>
      <c r="C76" s="14" t="inlineStr">
        <is>
          <t>/locations/</t>
        </is>
      </c>
      <c r="D76" s="15" t="inlineStr">
        <is>
          <t>TBD — HUMAN APPROVAL</t>
        </is>
      </c>
      <c r="E76" s="17" t="inlineStr">
        <is>
          <t>301 / retire</t>
        </is>
      </c>
      <c r="F76" s="14" t="inlineStr">
        <is>
          <t>Retired page requires an approved destination based on relevance and equity.</t>
        </is>
      </c>
      <c r="G76" s="18" t="inlineStr">
        <is>
          <t>OPEN</t>
        </is>
      </c>
      <c r="H76" s="16" t="inlineStr">
        <is>
          <t>SimpliCreative → NuVue approves</t>
        </is>
      </c>
    </row>
    <row r="77">
      <c r="A77" s="16" t="n">
        <v>73</v>
      </c>
      <c r="B77" s="16" t="inlineStr">
        <is>
          <t>NUV-P098</t>
        </is>
      </c>
      <c r="C77" s="14" t="inlineStr">
        <is>
          <t>/categories/</t>
        </is>
      </c>
      <c r="D77" s="15" t="inlineStr">
        <is>
          <t>TBD — HUMAN APPROVAL</t>
        </is>
      </c>
      <c r="E77" s="17" t="inlineStr">
        <is>
          <t>301 / retire</t>
        </is>
      </c>
      <c r="F77" s="14" t="inlineStr">
        <is>
          <t>Retired page requires an approved destination based on relevance and equity.</t>
        </is>
      </c>
      <c r="G77" s="18" t="inlineStr">
        <is>
          <t>OPEN</t>
        </is>
      </c>
      <c r="H77" s="16" t="inlineStr">
        <is>
          <t>SimpliCreative → NuVue approves</t>
        </is>
      </c>
    </row>
    <row r="78">
      <c r="A78" s="16" t="n">
        <v>74</v>
      </c>
      <c r="B78" s="16" t="inlineStr">
        <is>
          <t>NUV-P099</t>
        </is>
      </c>
      <c r="C78" s="14" t="inlineStr">
        <is>
          <t>/tags/</t>
        </is>
      </c>
      <c r="D78" s="15" t="inlineStr">
        <is>
          <t>TBD — HUMAN APPROVAL</t>
        </is>
      </c>
      <c r="E78" s="17" t="inlineStr">
        <is>
          <t>301 / retire</t>
        </is>
      </c>
      <c r="F78" s="14" t="inlineStr">
        <is>
          <t>Retired page requires an approved destination based on relevance and equity.</t>
        </is>
      </c>
      <c r="G78" s="18" t="inlineStr">
        <is>
          <t>OPEN</t>
        </is>
      </c>
      <c r="H78" s="16" t="inlineStr">
        <is>
          <t>SimpliCreative → NuVue approves</t>
        </is>
      </c>
    </row>
  </sheetData>
  <autoFilter ref="A4:H78"/>
  <mergeCells count="2">
    <mergeCell ref="A2:H2"/>
    <mergeCell ref="A1:H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70" customWidth="1" min="3" max="3"/>
    <col width="55" customWidth="1" min="4" max="4"/>
  </cols>
  <sheetData>
    <row r="1" ht="30" customHeight="1">
      <c r="A1" s="1" t="inlineStr">
        <is>
          <t>Schema Implementation Guide</t>
        </is>
      </c>
    </row>
    <row r="2" ht="34" customHeight="1">
      <c r="A2" s="2" t="inlineStr">
        <is>
          <t>Reusable schema guidance. Page-specific schema assignments remain on the Sitemap tab.</t>
        </is>
      </c>
    </row>
    <row r="4" ht="34" customHeight="1">
      <c r="A4" s="7" t="inlineStr">
        <is>
          <t>Schema Type</t>
        </is>
      </c>
      <c r="B4" s="7" t="inlineStr">
        <is>
          <t>When to Use on NuVue</t>
        </is>
      </c>
      <c r="C4" s="7" t="inlineStr">
        <is>
          <t>Key Properties to Populate</t>
        </is>
      </c>
      <c r="D4" s="7" t="inlineStr">
        <is>
          <t>Implementation Rule</t>
        </is>
      </c>
    </row>
    <row r="5">
      <c r="A5" s="14" t="inlineStr">
        <is>
          <t>Organization</t>
        </is>
      </c>
      <c r="B5" s="14" t="inlineStr">
        <is>
          <t>Sitewide, in the &lt;head&gt; of every page (output once via theme/SEO plugin).</t>
        </is>
      </c>
      <c r="C5" s="14" t="inlineStr">
        <is>
          <t>name, url, logo, description, foundingDate (2002), founder (Steve Rezac), sameAs (LinkedIn + socials), contactPoint, areaServed, knowsAbout, award.</t>
        </is>
      </c>
      <c r="D5" s="19" t="inlineStr">
        <is>
          <t>Use only when the actual page content supports the schema type. Missing content is a content gap, not a markup problem.</t>
        </is>
      </c>
    </row>
    <row r="6">
      <c r="A6" s="14" t="inlineStr">
        <is>
          <t>WebSite</t>
        </is>
      </c>
      <c r="B6" s="14" t="inlineStr">
        <is>
          <t>Sitewide, alongside Organization. Enables sitelinks search box.</t>
        </is>
      </c>
      <c r="C6" s="14" t="inlineStr">
        <is>
          <t>name, url, publisher (Organization), potentialAction → SearchAction with target + query-input.</t>
        </is>
      </c>
      <c r="D6" s="19" t="inlineStr">
        <is>
          <t>Use only when the actual page content supports the schema type. Missing content is a content gap, not a markup problem.</t>
        </is>
      </c>
    </row>
    <row r="7">
      <c r="A7" s="14" t="inlineStr">
        <is>
          <t>BreadcrumbList</t>
        </is>
      </c>
      <c r="B7" s="14" t="inlineStr">
        <is>
          <t>Every page except the homepage. Mirrors the URL hierarchy.</t>
        </is>
      </c>
      <c r="C7" s="14" t="inlineStr">
        <is>
          <t>itemListElement: ordered ListItem entries (position, name, item URL).</t>
        </is>
      </c>
      <c r="D7" s="19" t="inlineStr">
        <is>
          <t>Use only when the actual page content supports the schema type. Missing content is a content gap, not a markup problem.</t>
        </is>
      </c>
    </row>
    <row r="8">
      <c r="A8" s="14" t="inlineStr">
        <is>
          <t>CollectionPage</t>
        </is>
      </c>
      <c r="B8" s="14" t="inlineStr">
        <is>
          <t>Hub/landing pages that list children: Curriculum Overview, each pillar, Industries hub, Resources, Case Studies.</t>
        </is>
      </c>
      <c r="C8" s="14" t="inlineStr">
        <is>
          <t>name, description, isPartOf, mainEntity/hasPart → ItemList of the child pages.</t>
        </is>
      </c>
      <c r="D8" s="19" t="inlineStr">
        <is>
          <t>Use only when the actual page content supports the schema type. Missing content is a content gap, not a markup problem.</t>
        </is>
      </c>
    </row>
    <row r="9">
      <c r="A9" s="14" t="inlineStr">
        <is>
          <t>Course</t>
        </is>
      </c>
      <c r="B9" s="14" t="inlineStr">
        <is>
          <t>Scheduled, multi-attendee training programs: CSP, Income|Outcome, individual workshops.</t>
        </is>
      </c>
      <c r="C9" s="14" t="inlineStr">
        <is>
          <t>name, description, provider (Organization), educationalLevel, hasCourseInstance (courseMode: onsite/online/blended, courseWorkload, location), optional offers.</t>
        </is>
      </c>
      <c r="D9" s="19" t="inlineStr">
        <is>
          <t>Use only when the actual page content supports the schema type. Missing content is a content gap, not a markup problem.</t>
        </is>
      </c>
    </row>
    <row r="10">
      <c r="A10" s="14" t="inlineStr">
        <is>
          <t>Service</t>
        </is>
      </c>
      <c r="B10" s="14" t="inlineStr">
        <is>
          <t>1:1 or industry offerings that are not scheduled courses: Executive Coaching, For Organizations, For Sales Professionals, all Industry pages.</t>
        </is>
      </c>
      <c r="C10" s="14" t="inlineStr">
        <is>
          <t>serviceType, provider, areaServed, audience (BusinessAudience or Audience), optional offers/priceSpecification.</t>
        </is>
      </c>
      <c r="D10" s="19" t="inlineStr">
        <is>
          <t>Use only when the actual page content supports the schema type. Missing content is a content gap, not a markup problem.</t>
        </is>
      </c>
    </row>
    <row r="11">
      <c r="A11" s="14" t="inlineStr">
        <is>
          <t>Blog / BlogPosting</t>
        </is>
      </c>
      <c r="B11" s="14" t="inlineStr">
        <is>
          <t>Blog index uses Blog; each article uses BlogPosting.</t>
        </is>
      </c>
      <c r="C11" s="14" t="inlineStr">
        <is>
          <t>Blog: name, description, publisher. BlogPosting: headline, author (Person), datePublished, dateModified, image, mainEntityOfPage.</t>
        </is>
      </c>
      <c r="D11" s="19" t="inlineStr">
        <is>
          <t>Use only when the actual page content supports the schema type. Missing content is a content gap, not a markup problem.</t>
        </is>
      </c>
    </row>
    <row r="12">
      <c r="A12" s="14" t="inlineStr">
        <is>
          <t>AboutPage</t>
        </is>
      </c>
      <c r="B12" s="14" t="inlineStr">
        <is>
          <t>About NuVue, Our Approach, Meet Our Team.</t>
        </is>
      </c>
      <c r="C12" s="14" t="inlineStr">
        <is>
          <t>name, description, about; reference Organization. Meet Our Team adds ItemList of Person (name, jobTitle, image, knowsAbout, sameAs).</t>
        </is>
      </c>
      <c r="D12" s="19" t="inlineStr">
        <is>
          <t>Use only when the actual page content supports the schema type. Missing content is a content gap, not a markup problem.</t>
        </is>
      </c>
    </row>
    <row r="13">
      <c r="A13" s="14" t="inlineStr">
        <is>
          <t>ContactPage</t>
        </is>
      </c>
      <c r="B13" s="14" t="inlineStr">
        <is>
          <t>Contact Us, Request a Consultation.</t>
        </is>
      </c>
      <c r="C13" s="14" t="inlineStr">
        <is>
          <t>name, description; reference Organization contactPoint (telephone, email, contactType, areaServed, availableLanguage).</t>
        </is>
      </c>
      <c r="D13" s="19" t="inlineStr">
        <is>
          <t>Use only when the actual page content supports the schema type. Missing content is a content gap, not a markup problem.</t>
        </is>
      </c>
    </row>
    <row r="14">
      <c r="A14" s="14" t="inlineStr">
        <is>
          <t>Review / AggregateRating</t>
        </is>
      </c>
      <c r="B14" s="14" t="inlineStr">
        <is>
          <t>Client Testimonials, and aggregate rating on the Organization.</t>
        </is>
      </c>
      <c r="C14" s="14" t="inlineStr">
        <is>
          <t>Review: author, reviewBody, itemReviewed, reviewRating. AggregateRating: ratingValue, reviewCount. Use only verifiable, attributable quotes.</t>
        </is>
      </c>
      <c r="D14" s="19" t="inlineStr">
        <is>
          <t>Use only when the actual page content supports the schema type. Missing content is a content gap, not a markup problem.</t>
        </is>
      </c>
    </row>
    <row r="15">
      <c r="A15" s="14" t="inlineStr">
        <is>
          <t>EducationEvent</t>
        </is>
      </c>
      <c r="B15" s="14" t="inlineStr">
        <is>
          <t>Each dated session on Public Seminars.</t>
        </is>
      </c>
      <c r="C15" s="14" t="inlineStr">
        <is>
          <t>name, startDate, endDate, eventAttendanceMode, location or virtualLocation, offers (price, priceCurrency, availability, url).</t>
        </is>
      </c>
      <c r="D15" s="19" t="inlineStr">
        <is>
          <t>Use only when the actual page content supports the schema type. Missing content is a content gap, not a markup problem.</t>
        </is>
      </c>
    </row>
    <row r="16">
      <c r="A16" s="14" t="inlineStr">
        <is>
          <t>Quiz</t>
        </is>
      </c>
      <c r="B16" s="14" t="inlineStr">
        <is>
          <t>Self-Assessment Quiz page.</t>
        </is>
      </c>
      <c r="C16" s="14" t="inlineStr">
        <is>
          <t>about, educationalAlignment, hasPart → Question (with acceptedAnswer). Pair with lead-capture form.</t>
        </is>
      </c>
      <c r="D16" s="19" t="inlineStr">
        <is>
          <t>Use only when the actual page content supports the schema type. Missing content is a content gap, not a markup problem.</t>
        </is>
      </c>
    </row>
    <row r="17">
      <c r="A17" s="14" t="inlineStr">
        <is>
          <t>FAQPage</t>
        </is>
      </c>
      <c r="B17" s="14" t="inlineStr">
        <is>
          <t>Optional, add to any page with a genuine Q&amp;A block (e.g. Assessments, program pages).</t>
        </is>
      </c>
      <c r="C17" s="14" t="inlineStr">
        <is>
          <t>mainEntity → Question + acceptedAnswer (Answer). Only mark up Q&amp;A visible on the page.</t>
        </is>
      </c>
      <c r="D17" s="19" t="inlineStr">
        <is>
          <t>Use only when the actual page content supports the schema type. Missing content is a content gap, not a markup problem.</t>
        </is>
      </c>
    </row>
    <row r="18">
      <c r="A18" s="14" t="inlineStr">
        <is>
          <t>Implementation notes:  Use JSON-LD (Google's preferred format). Output one @graph per page combining the sitewide entities (Organization, WebSite) with the page-specific type(s). Validate every template in Google's Rich Results Test and Schema.org validator before launch. Keep all marked-up claims (ratings, results, guarantees) factual and matched to on-page content.</t>
        </is>
      </c>
      <c r="B18" s="14" t="inlineStr"/>
      <c r="C18" s="14" t="inlineStr"/>
      <c r="D18" s="19" t="inlineStr">
        <is>
          <t>Use only when the actual page content supports the schema type. Missing content is a content gap, not a markup problem.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zoomScale="85"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58" customWidth="1" min="3" max="3"/>
    <col width="48" customWidth="1" min="4" max="4"/>
    <col width="40" customWidth="1" min="5" max="5"/>
    <col width="14" customWidth="1" min="6" max="6"/>
    <col width="24" customWidth="1" min="7" max="7"/>
  </cols>
  <sheetData>
    <row r="1" ht="30" customHeight="1">
      <c r="A1" s="1" t="inlineStr">
        <is>
          <t>Authority &amp; Proof Requirements</t>
        </is>
      </c>
    </row>
    <row r="2" ht="34" customHeight="1">
      <c r="A2" s="2" t="inlineStr">
        <is>
          <t>Optional supporting map for page-level credibility, proof, expertise, and authority requirements.</t>
        </is>
      </c>
    </row>
    <row r="4" ht="34" customHeight="1">
      <c r="A4" s="7" t="inlineStr">
        <is>
          <t>Signal / Requirement</t>
        </is>
      </c>
      <c r="B4" s="7" t="inlineStr">
        <is>
          <t>Page(s)</t>
        </is>
      </c>
      <c r="C4" s="7" t="inlineStr">
        <is>
          <t>What Must Be True</t>
        </is>
      </c>
      <c r="D4" s="7" t="inlineStr">
        <is>
          <t>Evidence / Source Needed</t>
        </is>
      </c>
      <c r="E4" s="7" t="inlineStr">
        <is>
          <t>Schema / Implementation Tie</t>
        </is>
      </c>
      <c r="F4" s="7" t="inlineStr">
        <is>
          <t>Status</t>
        </is>
      </c>
      <c r="G4" s="7" t="inlineStr">
        <is>
          <t>Owner</t>
        </is>
      </c>
    </row>
    <row r="5">
      <c r="A5" s="16" t="inlineStr">
        <is>
          <t>Enterprise proof visible where evaluation happens</t>
        </is>
      </c>
      <c r="B5" s="16" t="inlineStr">
        <is>
          <t>Homepage; For Organizations; Results; priority solution pages</t>
        </is>
      </c>
      <c r="C5" s="16" t="inlineStr">
        <is>
          <t>Approved logos, case evidence, testimonials, and ROI evidence appear near the buyer questions they support.</t>
        </is>
      </c>
      <c r="D5" s="16" t="inlineStr">
        <is>
          <t>Logo permissions; ROI Impact Evaluations; approved case studies</t>
        </is>
      </c>
      <c r="E5" s="16" t="inlineStr">
        <is>
          <t>Organization / Review / Service properties where valid</t>
        </is>
      </c>
      <c r="F5" s="18" t="inlineStr">
        <is>
          <t>OPEN</t>
        </is>
      </c>
      <c r="G5" s="16" t="inlineStr">
        <is>
          <t>NuVue + SimpliCreative</t>
        </is>
      </c>
    </row>
    <row r="6">
      <c r="A6" s="16" t="inlineStr">
        <is>
          <t>Learning That Never Stops® is explained as a real methodology</t>
        </is>
      </c>
      <c r="B6" s="16" t="inlineStr">
        <is>
          <t>Homepage; How We Work; priority program pages</t>
        </is>
      </c>
      <c r="C6" s="16" t="inlineStr">
        <is>
          <t>The site explains reinforcement and continued application, not merely the trademark name.</t>
        </is>
      </c>
      <c r="D6" s="16" t="inlineStr">
        <is>
          <t>Approved methodology description; current program support details</t>
        </is>
      </c>
      <c r="E6" s="16" t="inlineStr">
        <is>
          <t>Service / Course / WebPage context as applicable</t>
        </is>
      </c>
      <c r="F6" s="20" t="inlineStr">
        <is>
          <t>DRAFT</t>
        </is>
      </c>
      <c r="G6" s="16" t="inlineStr">
        <is>
          <t>NuVue + SimpliCreative</t>
        </is>
      </c>
    </row>
    <row r="7">
      <c r="A7" s="16" t="inlineStr">
        <is>
          <t>Guarantee is qualified and evidence-backed</t>
        </is>
      </c>
      <c r="B7" s="16" t="inlineStr">
        <is>
          <t>Homepage teaser; CSP Guarantee page</t>
        </is>
      </c>
      <c r="C7" s="16" t="inlineStr">
        <is>
          <t>Eligibility, terms, completion requirements, annual capacity, and supporting proof are current and explicit.</t>
        </is>
      </c>
      <c r="D7" s="16" t="inlineStr">
        <is>
          <t>Current guarantee documentation; eligibility rules; ROI methodology</t>
        </is>
      </c>
      <c r="E7" s="16" t="inlineStr">
        <is>
          <t>Service / Offer properties only where supported</t>
        </is>
      </c>
      <c r="F7" s="18" t="inlineStr">
        <is>
          <t>OPEN</t>
        </is>
      </c>
      <c r="G7" s="16" t="inlineStr">
        <is>
          <t>NuVue</t>
        </is>
      </c>
    </row>
    <row r="8">
      <c r="A8" s="16" t="inlineStr">
        <is>
          <t>Industry expertise is specific rather than generic</t>
        </is>
      </c>
      <c r="B8" s="16" t="inlineStr">
        <is>
          <t>Agriculture; Manufacturing; Insurance pages</t>
        </is>
      </c>
      <c r="C8" s="16" t="inlineStr">
        <is>
          <t>Industry pages include real language, use cases, proof, and relevant programs rather than swapped industry labels.</t>
        </is>
      </c>
      <c r="D8" s="16" t="inlineStr">
        <is>
          <t>Client examples; industry-specific content; program mapping</t>
        </is>
      </c>
      <c r="E8" s="16" t="inlineStr">
        <is>
          <t>Service / CollectionPage / Article as appropriate</t>
        </is>
      </c>
      <c r="F8" s="18" t="inlineStr">
        <is>
          <t>OPEN</t>
        </is>
      </c>
      <c r="G8" s="16" t="inlineStr">
        <is>
          <t>NuVue + SimpliCreative</t>
        </is>
      </c>
    </row>
    <row r="9">
      <c r="A9" s="16" t="inlineStr">
        <is>
          <t>NuVue authorship and expertise are clear</t>
        </is>
      </c>
      <c r="B9" s="16" t="inlineStr">
        <is>
          <t>About; Resources; thought leadership</t>
        </is>
      </c>
      <c r="C9" s="16" t="inlineStr">
        <is>
          <t>Author / organization expertise is visible and traceable.</t>
        </is>
      </c>
      <c r="D9" s="16" t="inlineStr">
        <is>
          <t>Team bios; credentials; authorship rules; external profiles</t>
        </is>
      </c>
      <c r="E9" s="16" t="inlineStr">
        <is>
          <t>Person / Organization / Article properties where valid</t>
        </is>
      </c>
      <c r="F9" s="18" t="inlineStr">
        <is>
          <t>OPEN</t>
        </is>
      </c>
      <c r="G9" s="16" t="inlineStr">
        <is>
          <t>NuVue</t>
        </is>
      </c>
    </row>
  </sheetData>
  <mergeCells count="2">
    <mergeCell ref="A2:G2"/>
    <mergeCell ref="A1:G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zoomScale="85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65" customWidth="1" min="3" max="3"/>
  </cols>
  <sheetData>
    <row r="1" ht="30" customHeight="1">
      <c r="A1" s="1" t="inlineStr">
        <is>
          <t>Architecture Summary</t>
        </is>
      </c>
    </row>
    <row r="2" ht="34" customHeight="1">
      <c r="A2" s="2" t="inlineStr">
        <is>
          <t>Formula-driven view of page scope, metadata/schema completeness, and unresolved review items.</t>
        </is>
      </c>
    </row>
    <row r="4" ht="34" customHeight="1">
      <c r="A4" s="7" t="inlineStr">
        <is>
          <t>Metric</t>
        </is>
      </c>
      <c r="B4" s="7" t="inlineStr">
        <is>
          <t>Formula / Result</t>
        </is>
      </c>
      <c r="C4" s="7" t="inlineStr">
        <is>
          <t>Purpose</t>
        </is>
      </c>
    </row>
    <row r="5">
      <c r="A5" s="21" t="inlineStr">
        <is>
          <t>Total page records</t>
        </is>
      </c>
      <c r="B5" s="22">
        <f>COUNTA(Sitemap!D5:D103)</f>
        <v/>
      </c>
      <c r="C5" s="21" t="inlineStr">
        <is>
          <t>All active and retire architecture records</t>
        </is>
      </c>
    </row>
    <row r="6">
      <c r="A6" s="21" t="inlineStr">
        <is>
          <t>New pages</t>
        </is>
      </c>
      <c r="B6" s="22">
        <f>COUNTIF(Sitemap!G5:G103,"NEW")</f>
        <v/>
      </c>
      <c r="C6" s="21" t="inlineStr">
        <is>
          <t>Brand-new pages</t>
        </is>
      </c>
    </row>
    <row r="7">
      <c r="A7" s="21" t="inlineStr">
        <is>
          <t>Enhanced pages</t>
        </is>
      </c>
      <c r="B7" s="22">
        <f>COUNTIF(Sitemap!G5:G103,"ENHANCED")</f>
        <v/>
      </c>
      <c r="C7" s="21" t="inlineStr">
        <is>
          <t>Existing pages with significant change</t>
        </is>
      </c>
    </row>
    <row r="8">
      <c r="A8" s="21" t="inlineStr">
        <is>
          <t>Restructured pages</t>
        </is>
      </c>
      <c r="B8" s="22">
        <f>COUNTIF(Sitemap!G5:G103,"RESTRUCTURED")</f>
        <v/>
      </c>
      <c r="C8" s="21" t="inlineStr">
        <is>
          <t>Pages reorganized into new hierarchy</t>
        </is>
      </c>
    </row>
    <row r="9">
      <c r="A9" s="21" t="inlineStr">
        <is>
          <t>Retire pages</t>
        </is>
      </c>
      <c r="B9" s="22">
        <f>COUNTIF(Sitemap!G5:G103,"RETIRE")</f>
        <v/>
      </c>
      <c r="C9" s="21" t="inlineStr">
        <is>
          <t>Pages proposed for retirement</t>
        </is>
      </c>
    </row>
    <row r="10">
      <c r="A10" s="21" t="inlineStr">
        <is>
          <t>Pages with meta title</t>
        </is>
      </c>
      <c r="B10" s="22">
        <f>COUNTIF(Sitemap!N5:N103,"&lt;&gt;")</f>
        <v/>
      </c>
      <c r="C10" s="21" t="inlineStr">
        <is>
          <t>Metadata coverage</t>
        </is>
      </c>
    </row>
    <row r="11">
      <c r="A11" s="21" t="inlineStr">
        <is>
          <t>Pages with schema</t>
        </is>
      </c>
      <c r="B11" s="22">
        <f>COUNTIF(Sitemap!T5:T103,"&lt;&gt;")</f>
        <v/>
      </c>
      <c r="C11" s="21" t="inlineStr">
        <is>
          <t>Schema coverage</t>
        </is>
      </c>
    </row>
    <row r="12">
      <c r="A12" s="21" t="inlineStr">
        <is>
          <t>Pages needing review</t>
        </is>
      </c>
      <c r="B12" s="22">
        <f>COUNTIF(Sitemap!AA5:AA103,"&lt;&gt;")</f>
        <v/>
      </c>
      <c r="C12" s="21" t="inlineStr">
        <is>
          <t>Rows with unresolved review flags</t>
        </is>
      </c>
    </row>
    <row r="13">
      <c r="A13" s="21" t="inlineStr">
        <is>
          <t>Redirect records</t>
        </is>
      </c>
      <c r="B13" s="22">
        <f>COUNTA(Redirects!C5:C78)</f>
        <v/>
      </c>
      <c r="C13" s="21" t="inlineStr">
        <is>
          <t>URL changes / retirements requiring migration handling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zoomScale="85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8" customWidth="1" min="4" max="4"/>
    <col width="28" customWidth="1" min="5" max="5"/>
    <col width="72" customWidth="1" min="6" max="6"/>
    <col width="24" customWidth="1" min="7" max="7"/>
    <col width="20" customWidth="1" min="8" max="8"/>
  </cols>
  <sheetData>
    <row r="1" ht="30" customHeight="1">
      <c r="A1" s="1" t="inlineStr">
        <is>
          <t>Change Log</t>
        </is>
      </c>
    </row>
    <row r="2" ht="34" customHeight="1">
      <c r="A2" s="2" t="inlineStr">
        <is>
          <t>Revision tracking for the Integrated Site Architecture workbook.</t>
        </is>
      </c>
    </row>
    <row r="4" ht="34" customHeight="1">
      <c r="A4" s="7" t="inlineStr">
        <is>
          <t>Version</t>
        </is>
      </c>
      <c r="B4" s="7" t="inlineStr">
        <is>
          <t>Date</t>
        </is>
      </c>
      <c r="C4" s="7" t="inlineStr">
        <is>
          <t>Requested By</t>
        </is>
      </c>
      <c r="D4" s="7" t="inlineStr">
        <is>
          <t>Tab</t>
        </is>
      </c>
      <c r="E4" s="7" t="inlineStr">
        <is>
          <t>Page / Item</t>
        </is>
      </c>
      <c r="F4" s="7" t="inlineStr">
        <is>
          <t>Change</t>
        </is>
      </c>
      <c r="G4" s="7" t="inlineStr">
        <is>
          <t>Status</t>
        </is>
      </c>
      <c r="H4" s="7" t="inlineStr">
        <is>
          <t>Approved By</t>
        </is>
      </c>
    </row>
    <row r="5">
      <c r="A5" s="16" t="inlineStr">
        <is>
          <t>v1.0</t>
        </is>
      </c>
      <c r="B5" s="16" t="inlineStr">
        <is>
          <t>2026-09-02</t>
        </is>
      </c>
      <c r="C5" s="16" t="inlineStr">
        <is>
          <t>SimpliCreative</t>
        </is>
      </c>
      <c r="D5" s="16" t="inlineStr">
        <is>
          <t>All</t>
        </is>
      </c>
      <c r="E5" s="16" t="inlineStr">
        <is>
          <t>Initial Gold Standard</t>
        </is>
      </c>
      <c r="F5" s="16" t="inlineStr">
        <is>
          <t>Combined NuVue Proposed Site Architecture and Meta &amp; Schema Recommendations into one integrated Foundation workbook; added buyer intent, proof/measurement fields, redirects, review flags, and governing rules.</t>
        </is>
      </c>
      <c r="G5" s="16" t="inlineStr">
        <is>
          <t>Issued for Human Review</t>
        </is>
      </c>
      <c r="H5" s="16" t="inlineStr"/>
    </row>
  </sheetData>
  <mergeCells count="2">
    <mergeCell ref="A2:H2"/>
    <mergeCell ref="A1:H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2026-09-03T05:31:46Z</dcterms:created>
  <dcterms:modified xmlns:dcterms="http://purl.org/dc/terms/" xmlns:xsi="http://www.w3.org/2001/XMLSchema-instance" xsi:type="dcterms:W3CDTF">2026-09-03T05:31:46Z</dcterms:modified>
</cp:coreProperties>
</file>